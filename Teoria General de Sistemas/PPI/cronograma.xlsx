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codeName="ThisWorkbook"/>
  <xr:revisionPtr revIDLastSave="0" documentId="13_ncr:1_{F5DCA42F-EC63-449A-BB14-10CD7FA59D34}" xr6:coauthVersionLast="47" xr6:coauthVersionMax="47" xr10:uidLastSave="{00000000-0000-0000-0000-000000000000}"/>
  <bookViews>
    <workbookView xWindow="-108" yWindow="-108" windowWidth="23256" windowHeight="12456" xr2:uid="{00000000-000D-0000-FFFF-FFFF00000000}"/>
  </bookViews>
  <sheets>
    <sheet name="Level optizone TdeA" sheetId="11" r:id="rId1"/>
  </sheets>
  <definedNames>
    <definedName name="hoy" localSheetId="0">TODAY()</definedName>
    <definedName name="Inicio_del_proyecto">'Level optizone TdeA'!$E$6</definedName>
    <definedName name="Semana_para_mostrar">'Level optizone TdeA'!$E$7</definedName>
    <definedName name="task_end" localSheetId="0">'Level optizone TdeA'!$F1</definedName>
    <definedName name="task_progress" localSheetId="0">'Level optizone TdeA'!$D1</definedName>
    <definedName name="task_start" localSheetId="0">'Level optizone TdeA'!$E1</definedName>
    <definedName name="_xlnm.Print_Titles" localSheetId="0">'Level optizone TdeA'!$7:$9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1" l="1"/>
  <c r="E47" i="11"/>
  <c r="E33" i="11"/>
  <c r="E26" i="11"/>
  <c r="E44" i="11"/>
  <c r="E45" i="11"/>
  <c r="E46" i="11"/>
  <c r="E43" i="11"/>
  <c r="E38" i="11"/>
  <c r="E39" i="11"/>
  <c r="E40" i="11"/>
  <c r="E41" i="11"/>
  <c r="E37" i="11"/>
  <c r="E32" i="11"/>
  <c r="E34" i="11"/>
  <c r="E35" i="11"/>
  <c r="E31" i="11"/>
  <c r="E25" i="11"/>
  <c r="E27" i="11"/>
  <c r="E28" i="11"/>
  <c r="E29" i="11"/>
  <c r="E24" i="11"/>
  <c r="F16" i="11"/>
  <c r="F22" i="11"/>
  <c r="F21" i="11"/>
  <c r="F12" i="11"/>
  <c r="F20" i="11"/>
  <c r="F19" i="11"/>
  <c r="F18" i="11"/>
  <c r="F15" i="11"/>
  <c r="F14" i="11"/>
  <c r="F13" i="11"/>
  <c r="H42" i="11" l="1"/>
  <c r="H36" i="11"/>
  <c r="H10" i="11"/>
  <c r="I8" i="11" l="1"/>
  <c r="H49" i="11"/>
  <c r="H48" i="11"/>
  <c r="H35" i="11"/>
  <c r="H34" i="11"/>
  <c r="H33" i="11"/>
  <c r="H32" i="11"/>
  <c r="H30" i="11"/>
  <c r="H23" i="11"/>
  <c r="H17" i="11"/>
  <c r="H11" i="11"/>
  <c r="H12" i="11" l="1"/>
  <c r="I9" i="11"/>
  <c r="H31" i="11" l="1"/>
  <c r="H13" i="11"/>
  <c r="H18" i="11"/>
  <c r="H16" i="11"/>
  <c r="J8" i="11"/>
  <c r="K8" i="11" s="1"/>
  <c r="L8" i="11" s="1"/>
  <c r="M8" i="11" s="1"/>
  <c r="N8" i="11" s="1"/>
  <c r="O8" i="11" s="1"/>
  <c r="P8" i="11" s="1"/>
  <c r="I7" i="11"/>
  <c r="H24" i="11" l="1"/>
  <c r="H26" i="11"/>
  <c r="H19" i="11"/>
  <c r="H14" i="11"/>
  <c r="H15" i="11"/>
  <c r="P7" i="11"/>
  <c r="Q8" i="11"/>
  <c r="R8" i="11" s="1"/>
  <c r="S8" i="11" s="1"/>
  <c r="T8" i="11" s="1"/>
  <c r="U8" i="11" s="1"/>
  <c r="V8" i="11" s="1"/>
  <c r="W8" i="11" s="1"/>
  <c r="J9" i="11"/>
  <c r="H29" i="11" l="1"/>
  <c r="H22" i="11"/>
  <c r="H21" i="11"/>
  <c r="H20" i="11"/>
  <c r="W7" i="11"/>
  <c r="X8" i="11"/>
  <c r="Y8" i="11" s="1"/>
  <c r="Z8" i="11" s="1"/>
  <c r="AA8" i="11" s="1"/>
  <c r="AB8" i="11" s="1"/>
  <c r="AC8" i="11" s="1"/>
  <c r="AD8" i="11" s="1"/>
  <c r="K9" i="11"/>
  <c r="H28" i="11" l="1"/>
  <c r="H27" i="11"/>
  <c r="AE8" i="11"/>
  <c r="AF8" i="11" s="1"/>
  <c r="AG8" i="11" s="1"/>
  <c r="AH8" i="11" s="1"/>
  <c r="AI8" i="11" s="1"/>
  <c r="AJ8" i="11" s="1"/>
  <c r="AD7" i="11"/>
  <c r="L9" i="11"/>
  <c r="AK8" i="11" l="1"/>
  <c r="AL8" i="11" s="1"/>
  <c r="AM8" i="11" s="1"/>
  <c r="AN8" i="11" s="1"/>
  <c r="AO8" i="11" s="1"/>
  <c r="AP8" i="11" s="1"/>
  <c r="AQ8" i="11" s="1"/>
  <c r="M9" i="11"/>
  <c r="AR8" i="11" l="1"/>
  <c r="AS8" i="11" s="1"/>
  <c r="AK7" i="11"/>
  <c r="N9" i="11"/>
  <c r="AT8" i="11" l="1"/>
  <c r="AS9" i="11"/>
  <c r="AR7" i="11"/>
  <c r="O9" i="11"/>
  <c r="AU8" i="11" l="1"/>
  <c r="AT9" i="11"/>
  <c r="AV8" i="11" l="1"/>
  <c r="AU9" i="11"/>
  <c r="P9" i="11"/>
  <c r="Q9" i="11"/>
  <c r="AW8" i="11" l="1"/>
  <c r="AV9" i="11"/>
  <c r="R9" i="11"/>
  <c r="AX8" i="11" l="1"/>
  <c r="AY8" i="11" s="1"/>
  <c r="AW9" i="11"/>
  <c r="AZ8" i="11" l="1"/>
  <c r="AY7" i="11"/>
  <c r="S9" i="11" s="1"/>
  <c r="AX9" i="11"/>
  <c r="T9" i="11"/>
  <c r="AY9" i="11" l="1"/>
  <c r="BA8" i="11"/>
  <c r="AZ9" i="11"/>
  <c r="U9" i="11"/>
  <c r="BA9" i="11" l="1"/>
  <c r="BB8" i="11"/>
  <c r="V9" i="11"/>
  <c r="BB9" i="11" l="1"/>
  <c r="BC8" i="11"/>
  <c r="W9" i="11"/>
  <c r="BC9" i="11" l="1"/>
  <c r="BD8" i="11"/>
  <c r="X9" i="11"/>
  <c r="BE8" i="11" l="1"/>
  <c r="BD9" i="11"/>
  <c r="Y9" i="11"/>
  <c r="BE9" i="11" l="1"/>
  <c r="BF8" i="11"/>
  <c r="BF9" i="11" l="1"/>
  <c r="BG8" i="11"/>
  <c r="BF7" i="11"/>
  <c r="Z9" i="11" s="1"/>
  <c r="AA9" i="11"/>
  <c r="BG9" i="11" l="1"/>
  <c r="BH8" i="11"/>
  <c r="AB9" i="11"/>
  <c r="BI8" i="11" l="1"/>
  <c r="BH9" i="11"/>
  <c r="AC9" i="11"/>
  <c r="BJ8" i="11" l="1"/>
  <c r="BI9" i="11"/>
  <c r="AD9" i="11"/>
  <c r="BK8" i="11" l="1"/>
  <c r="BJ9" i="11"/>
  <c r="AE9" i="11"/>
  <c r="BL8" i="11" l="1"/>
  <c r="BM8" i="11" s="1"/>
  <c r="BK9" i="11"/>
  <c r="AF9" i="11"/>
  <c r="BM9" i="11" l="1"/>
  <c r="BM7" i="11"/>
  <c r="BN8" i="11"/>
  <c r="BL9" i="11"/>
  <c r="AG9" i="11"/>
  <c r="BO8" i="11" l="1"/>
  <c r="BN9" i="11"/>
  <c r="AH9" i="11"/>
  <c r="BO9" i="11" l="1"/>
  <c r="BP8" i="11"/>
  <c r="AI9" i="11"/>
  <c r="BQ8" i="11" l="1"/>
  <c r="BP9" i="11"/>
  <c r="AJ9" i="11"/>
  <c r="BR8" i="11" l="1"/>
  <c r="BQ9" i="11"/>
  <c r="AK9" i="11"/>
  <c r="BR9" i="11" l="1"/>
  <c r="BS8" i="11"/>
  <c r="BS9" i="11" s="1"/>
  <c r="AL9" i="11"/>
  <c r="AM9" i="11" l="1"/>
  <c r="AN9" i="11" l="1"/>
  <c r="AO9" i="11" l="1"/>
  <c r="AP9" i="11" l="1"/>
  <c r="AQ9" i="11" l="1"/>
  <c r="AR9" i="11" l="1"/>
</calcChain>
</file>

<file path=xl/sharedStrings.xml><?xml version="1.0" encoding="utf-8"?>
<sst xmlns="http://schemas.openxmlformats.org/spreadsheetml/2006/main" count="98" uniqueCount="76">
  <si>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</si>
  <si>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</si>
  <si>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</si>
  <si>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</si>
  <si>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</si>
  <si>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</si>
  <si>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</si>
  <si>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</si>
  <si>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</si>
  <si>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</si>
  <si>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</si>
  <si>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</si>
  <si>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</si>
  <si>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</si>
  <si>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</si>
  <si>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</si>
  <si>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</si>
  <si>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</si>
  <si>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ASIGNADO
A</t>
  </si>
  <si>
    <t>PROGRESO</t>
  </si>
  <si>
    <t>INICIO</t>
  </si>
  <si>
    <t>FIN</t>
  </si>
  <si>
    <t>DÍAS</t>
  </si>
  <si>
    <t>CONTEXTO DEL PROYECTO</t>
  </si>
  <si>
    <t>Nombre del proyecto</t>
  </si>
  <si>
    <t>Nombre del sistema</t>
  </si>
  <si>
    <t>Antecedentes de la organzación</t>
  </si>
  <si>
    <t>Antecedentes del sistema</t>
  </si>
  <si>
    <t xml:space="preserve">Cronograma del proyecto </t>
  </si>
  <si>
    <t>PLANTEAMIENTO DEL PROYECTO</t>
  </si>
  <si>
    <t>Justificación</t>
  </si>
  <si>
    <t>Objetivo general</t>
  </si>
  <si>
    <t xml:space="preserve">Objetivos especificos </t>
  </si>
  <si>
    <t>Alcance</t>
  </si>
  <si>
    <t>Metodologia</t>
  </si>
  <si>
    <t>DESCRIPCIÓN DE LA ORGANIZACIÓN</t>
  </si>
  <si>
    <t>Razón Social</t>
  </si>
  <si>
    <t>Ubicación</t>
  </si>
  <si>
    <t xml:space="preserve">Organigrama </t>
  </si>
  <si>
    <t>Descripcion de areas que conforman la organización</t>
  </si>
  <si>
    <t>Mision</t>
  </si>
  <si>
    <t>Vision</t>
  </si>
  <si>
    <t>PROPUESTA DEL SISTEMA PARA EL PROCESO ORGANIZACIONAL</t>
  </si>
  <si>
    <t>Funciones del sistema propuesto</t>
  </si>
  <si>
    <t>Recursos tecnicos requeridos</t>
  </si>
  <si>
    <t xml:space="preserve">Recursos tecnologicos requeridos </t>
  </si>
  <si>
    <t>REPRESENTACIÓN ALGORÍTMICA</t>
  </si>
  <si>
    <t>Funcion 1</t>
  </si>
  <si>
    <t>Funcion 2</t>
  </si>
  <si>
    <t>Funcion 3</t>
  </si>
  <si>
    <t>Funcion 4</t>
  </si>
  <si>
    <t>Funcion 5</t>
  </si>
  <si>
    <t>REFERENCIAS</t>
  </si>
  <si>
    <t>Emmanuel y David</t>
  </si>
  <si>
    <t>Emmanuel y Sebastian</t>
  </si>
  <si>
    <t>David</t>
  </si>
  <si>
    <t>Gustavo</t>
  </si>
  <si>
    <t xml:space="preserve">Emmanuel </t>
  </si>
  <si>
    <t xml:space="preserve">Sebastian </t>
  </si>
  <si>
    <t>TODOS</t>
  </si>
  <si>
    <t>Proyecto: Software para Optimización Operacional Next level</t>
  </si>
  <si>
    <t>Tecnologico de Antioquia</t>
  </si>
  <si>
    <t>David Cañaveral Lopera</t>
  </si>
  <si>
    <t>Emmanuel Rivas Milanés</t>
  </si>
  <si>
    <t>Gustavo Muñoz Osorio</t>
  </si>
  <si>
    <t>Sebastián Correa Montoya</t>
  </si>
  <si>
    <t>Emmanuel</t>
  </si>
  <si>
    <t>Descripción del problema</t>
  </si>
  <si>
    <t>Descripción del sistema propuesto</t>
  </si>
  <si>
    <t>Referecias Punto 1</t>
  </si>
  <si>
    <t>Referencias Punto 2</t>
  </si>
  <si>
    <t>Referencias Punto 3</t>
  </si>
  <si>
    <t>Referencias Punto 4</t>
  </si>
  <si>
    <t>Referencias Punto 5</t>
  </si>
  <si>
    <t>Sebastian</t>
  </si>
  <si>
    <t xml:space="preserve">Todos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</si>
</sst>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dd\,\ m/d/yyyy"/>
    <numFmt numFmtId="167" formatCode="[$-C0A]d\ &quot;de&quot;\ mmmm\ &quot;de&quot;\ yyyy;@"/>
    <numFmt numFmtId="168" formatCode="d\-m\-yy;@"/>
    <numFmt numFmtId="169" formatCode="d"/>
  </numFmts>
  <fonts count="33"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1"/>
      <name val="Calibri"/>
      <family val="2"/>
      <scheme val="minor"/>
    </font>
    <font>
      <u/>
      <sz val="11"/>
      <color theme="1"/>
      <name val="Calibri"/>
      <family val="2"/>
      <scheme val="minor"/>
    </font>
  </fonts>
  <fills count="49">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2" tint="-9.9978637043366805E-2"/>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9" borderId="2" xfId="0" applyNumberFormat="1" applyFill="1" applyBorder="1" applyAlignment="1">
      <alignment horizontal="center" vertical="center"/>
    </xf>
    <xf numFmtId="168" fontId="5" fillId="9" borderId="2" xfId="0" applyNumberFormat="1" applyFont="1" applyFill="1" applyBorder="1" applyAlignment="1">
      <alignment horizontal="center" vertical="center"/>
    </xf>
    <xf numFmtId="168" fontId="0" fillId="6" borderId="2" xfId="0" applyNumberFormat="1" applyFill="1" applyBorder="1" applyAlignment="1">
      <alignment horizontal="center" vertical="center"/>
    </xf>
    <xf numFmtId="168" fontId="9" fillId="11" borderId="2" xfId="10" applyFill="1">
      <alignment horizontal="center" vertical="center"/>
    </xf>
    <xf numFmtId="168" fontId="0" fillId="5" borderId="2" xfId="0" applyNumberFormat="1" applyFill="1" applyBorder="1" applyAlignment="1">
      <alignment horizontal="center" vertical="center"/>
    </xf>
    <xf numFmtId="168" fontId="4" fillId="2" borderId="2" xfId="0" applyNumberFormat="1" applyFont="1" applyFill="1" applyBorder="1" applyAlignment="1">
      <alignment horizontal="left"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10" borderId="2" xfId="10" applyFill="1">
      <alignment horizontal="center" vertical="center"/>
    </xf>
    <xf numFmtId="168" fontId="9" fillId="0" borderId="2" xfId="10">
      <alignment horizontal="center" vertical="center"/>
    </xf>
    <xf numFmtId="14" fontId="0" fillId="0" borderId="0" xfId="0" applyNumberFormat="1"/>
    <xf numFmtId="0" fontId="31" fillId="0" borderId="0" xfId="6" applyFont="1"/>
    <xf numFmtId="0" fontId="6" fillId="45" borderId="2" xfId="0" applyFont="1" applyFill="1" applyBorder="1" applyAlignment="1">
      <alignment horizontal="left" vertical="center" indent="1"/>
    </xf>
    <xf numFmtId="0" fontId="9" fillId="45" borderId="2" xfId="11" applyFill="1">
      <alignment horizontal="center" vertical="center"/>
    </xf>
    <xf numFmtId="9" fontId="5" fillId="45" borderId="2" xfId="2" applyFont="1" applyFill="1" applyBorder="1" applyAlignment="1">
      <alignment horizontal="center" vertical="center"/>
    </xf>
    <xf numFmtId="168" fontId="0" fillId="45" borderId="2" xfId="0" applyNumberFormat="1" applyFill="1" applyBorder="1" applyAlignment="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xf numFmtId="0" fontId="6" fillId="47" borderId="2" xfId="0" applyFont="1" applyFill="1" applyBorder="1" applyAlignment="1">
      <alignment horizontal="left" vertical="center" indent="1"/>
    </xf>
    <xf numFmtId="0" fontId="9" fillId="47" borderId="2" xfId="11" applyFill="1">
      <alignment horizontal="center" vertical="center"/>
    </xf>
    <xf numFmtId="9" fontId="5" fillId="47" borderId="2" xfId="2" applyFont="1" applyFill="1" applyBorder="1" applyAlignment="1">
      <alignment horizontal="center" vertical="center"/>
    </xf>
    <xf numFmtId="168" fontId="0" fillId="47" borderId="2" xfId="0" applyNumberFormat="1" applyFill="1" applyBorder="1" applyAlignment="1">
      <alignment horizontal="center" vertical="center"/>
    </xf>
    <xf numFmtId="0" fontId="9" fillId="48" borderId="2" xfId="12" applyFill="1">
      <alignment horizontal="left" vertical="center" indent="2"/>
    </xf>
    <xf numFmtId="0" fontId="9" fillId="48" borderId="2" xfId="11" applyFill="1">
      <alignment horizontal="center" vertical="center"/>
    </xf>
    <xf numFmtId="9" fontId="5" fillId="48" borderId="2" xfId="2" applyFont="1" applyFill="1" applyBorder="1" applyAlignment="1">
      <alignment horizontal="center" vertical="center"/>
    </xf>
    <xf numFmtId="168" fontId="9" fillId="48" borderId="2" xfId="10" applyFill="1">
      <alignment horizontal="center" vertical="center"/>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6" fontId="9" fillId="0" borderId="3" xfId="9">
      <alignment horizontal="center" vertical="center"/>
    </xf>
    <xf numFmtId="0" fontId="32" fillId="0" borderId="9" xfId="0" applyFont="1" applyBorder="1" applyAlignment="1">
      <alignment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21">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S52"/>
  <sheetViews>
    <sheetView showGridLines="0" tabSelected="1" showRuler="0" zoomScaleNormal="55" zoomScalePageLayoutView="70" workbookViewId="0">
      <pane ySplit="9" topLeftCell="A39" activePane="bottomLeft" state="frozen"/>
      <selection pane="bottomLeft" activeCell="N41" sqref="N41"/>
    </sheetView>
  </sheetViews>
  <sheetFormatPr baseColWidth="10" defaultColWidth="9.109375" defaultRowHeight="30" customHeight="1" x14ac:dyDescent="0.3"/>
  <cols>
    <col min="1" max="1" width="2.6640625" style="34" customWidth="1"/>
    <col min="2" max="2" width="51.88671875" customWidth="1"/>
    <col min="3" max="3" width="21" bestFit="1" customWidth="1"/>
    <col min="4" max="4" width="10.6640625" customWidth="1"/>
    <col min="5" max="5" width="10.44140625" style="5" customWidth="1"/>
    <col min="6" max="6" width="10.44140625" customWidth="1"/>
    <col min="7" max="7" width="2.6640625" customWidth="1"/>
    <col min="8" max="8" width="9.44140625" hidden="1" customWidth="1"/>
    <col min="9" max="65" width="3.33203125" customWidth="1"/>
    <col min="66" max="71" width="2.6640625" bestFit="1" customWidth="1"/>
  </cols>
  <sheetData>
    <row r="1" spans="1:71" ht="30" customHeight="1" x14ac:dyDescent="0.55000000000000004">
      <c r="A1" s="35" t="s">
        <v>0</v>
      </c>
      <c r="B1" s="38" t="s">
        <v>60</v>
      </c>
      <c r="C1" s="1"/>
      <c r="D1" s="2"/>
      <c r="E1" s="4"/>
      <c r="F1" s="33"/>
      <c r="H1" s="2"/>
      <c r="I1" s="55"/>
    </row>
    <row r="2" spans="1:71" ht="6.75" customHeight="1" x14ac:dyDescent="0.55000000000000004">
      <c r="A2" s="35"/>
      <c r="B2" s="38"/>
      <c r="C2" s="1"/>
      <c r="D2" s="2"/>
      <c r="E2" s="4"/>
      <c r="F2" s="33"/>
      <c r="H2" s="2"/>
      <c r="I2" s="55"/>
    </row>
    <row r="3" spans="1:71" ht="20.25" customHeight="1" x14ac:dyDescent="0.35">
      <c r="A3" s="34" t="s">
        <v>1</v>
      </c>
      <c r="B3" s="73" t="s">
        <v>61</v>
      </c>
      <c r="D3" s="39" t="s">
        <v>62</v>
      </c>
      <c r="G3" s="39" t="s">
        <v>64</v>
      </c>
      <c r="I3" s="56"/>
      <c r="L3" s="72"/>
    </row>
    <row r="4" spans="1:71" ht="18" x14ac:dyDescent="0.35">
      <c r="B4" s="73"/>
      <c r="D4" s="39" t="s">
        <v>63</v>
      </c>
      <c r="G4" s="39" t="s">
        <v>65</v>
      </c>
      <c r="I4" s="56"/>
      <c r="L4" s="72"/>
    </row>
    <row r="5" spans="1:71" ht="4.5" customHeight="1" x14ac:dyDescent="0.35">
      <c r="B5" s="73"/>
      <c r="D5" s="39"/>
      <c r="G5" s="39"/>
      <c r="I5" s="56"/>
      <c r="L5" s="72"/>
    </row>
    <row r="6" spans="1:71" ht="18" customHeight="1" x14ac:dyDescent="0.35">
      <c r="A6" s="34" t="s">
        <v>2</v>
      </c>
      <c r="B6" s="39"/>
      <c r="C6" s="93" t="s">
        <v>16</v>
      </c>
      <c r="D6" s="94"/>
      <c r="E6" s="95">
        <f>DATE(2026,2,9)</f>
        <v>46062</v>
      </c>
      <c r="F6" s="95"/>
    </row>
    <row r="7" spans="1:71" ht="18" customHeight="1" x14ac:dyDescent="0.35">
      <c r="A7" s="35" t="s">
        <v>3</v>
      </c>
      <c r="B7" s="39"/>
      <c r="C7" s="93" t="s">
        <v>17</v>
      </c>
      <c r="D7" s="94"/>
      <c r="E7" s="7">
        <v>1</v>
      </c>
      <c r="I7" s="90">
        <f>I8</f>
        <v>46062</v>
      </c>
      <c r="J7" s="91"/>
      <c r="K7" s="91"/>
      <c r="L7" s="91"/>
      <c r="M7" s="91"/>
      <c r="N7" s="91"/>
      <c r="O7" s="92"/>
      <c r="P7" s="90">
        <f>P8</f>
        <v>46069</v>
      </c>
      <c r="Q7" s="91"/>
      <c r="R7" s="91"/>
      <c r="S7" s="91"/>
      <c r="T7" s="91"/>
      <c r="U7" s="91"/>
      <c r="V7" s="92"/>
      <c r="W7" s="90">
        <f>W8</f>
        <v>46076</v>
      </c>
      <c r="X7" s="91"/>
      <c r="Y7" s="91"/>
      <c r="Z7" s="91"/>
      <c r="AA7" s="91"/>
      <c r="AB7" s="91"/>
      <c r="AC7" s="92"/>
      <c r="AD7" s="90">
        <f>AD8</f>
        <v>46083</v>
      </c>
      <c r="AE7" s="91"/>
      <c r="AF7" s="91"/>
      <c r="AG7" s="91"/>
      <c r="AH7" s="91"/>
      <c r="AI7" s="91"/>
      <c r="AJ7" s="92"/>
      <c r="AK7" s="90">
        <f>AK8</f>
        <v>46090</v>
      </c>
      <c r="AL7" s="91"/>
      <c r="AM7" s="91"/>
      <c r="AN7" s="91"/>
      <c r="AO7" s="91"/>
      <c r="AP7" s="91"/>
      <c r="AQ7" s="92"/>
      <c r="AR7" s="90">
        <f>AR8</f>
        <v>46097</v>
      </c>
      <c r="AS7" s="91"/>
      <c r="AT7" s="91"/>
      <c r="AU7" s="91"/>
      <c r="AV7" s="91"/>
      <c r="AW7" s="91"/>
      <c r="AX7" s="92"/>
      <c r="AY7" s="90">
        <f>AY8</f>
        <v>46104</v>
      </c>
      <c r="AZ7" s="91"/>
      <c r="BA7" s="91"/>
      <c r="BB7" s="91"/>
      <c r="BC7" s="91"/>
      <c r="BD7" s="91"/>
      <c r="BE7" s="92"/>
      <c r="BF7" s="90">
        <f>BF8</f>
        <v>46111</v>
      </c>
      <c r="BG7" s="91"/>
      <c r="BH7" s="91"/>
      <c r="BI7" s="91"/>
      <c r="BJ7" s="91"/>
      <c r="BK7" s="91"/>
      <c r="BL7" s="92"/>
      <c r="BM7" s="90">
        <f>BM8</f>
        <v>46118</v>
      </c>
      <c r="BN7" s="91"/>
      <c r="BO7" s="91"/>
      <c r="BP7" s="91"/>
      <c r="BQ7" s="91"/>
      <c r="BR7" s="91"/>
      <c r="BS7" s="92"/>
    </row>
    <row r="8" spans="1:71" ht="15" customHeight="1" x14ac:dyDescent="0.3">
      <c r="A8" s="35" t="s">
        <v>4</v>
      </c>
      <c r="B8" s="54"/>
      <c r="C8" s="54"/>
      <c r="D8" s="54"/>
      <c r="E8" s="54"/>
      <c r="F8" s="54"/>
      <c r="G8" s="54"/>
      <c r="I8" s="65">
        <f>Inicio_del_proyecto-WEEKDAY(Inicio_del_proyecto,1)+2+7*(Semana_para_mostrar-1)</f>
        <v>46062</v>
      </c>
      <c r="J8" s="66">
        <f>I8+1</f>
        <v>46063</v>
      </c>
      <c r="K8" s="66">
        <f t="shared" ref="K8:AX8" si="0">J8+1</f>
        <v>46064</v>
      </c>
      <c r="L8" s="66">
        <f t="shared" si="0"/>
        <v>46065</v>
      </c>
      <c r="M8" s="66">
        <f t="shared" si="0"/>
        <v>46066</v>
      </c>
      <c r="N8" s="66">
        <f t="shared" si="0"/>
        <v>46067</v>
      </c>
      <c r="O8" s="67">
        <f t="shared" si="0"/>
        <v>46068</v>
      </c>
      <c r="P8" s="65">
        <f>O8+1</f>
        <v>46069</v>
      </c>
      <c r="Q8" s="66">
        <f>P8+1</f>
        <v>46070</v>
      </c>
      <c r="R8" s="66">
        <f t="shared" si="0"/>
        <v>46071</v>
      </c>
      <c r="S8" s="66">
        <f t="shared" si="0"/>
        <v>46072</v>
      </c>
      <c r="T8" s="66">
        <f t="shared" si="0"/>
        <v>46073</v>
      </c>
      <c r="U8" s="66">
        <f t="shared" si="0"/>
        <v>46074</v>
      </c>
      <c r="V8" s="67">
        <f t="shared" si="0"/>
        <v>46075</v>
      </c>
      <c r="W8" s="65">
        <f>V8+1</f>
        <v>46076</v>
      </c>
      <c r="X8" s="66">
        <f>W8+1</f>
        <v>46077</v>
      </c>
      <c r="Y8" s="66">
        <f t="shared" si="0"/>
        <v>46078</v>
      </c>
      <c r="Z8" s="66">
        <f t="shared" si="0"/>
        <v>46079</v>
      </c>
      <c r="AA8" s="66">
        <f t="shared" si="0"/>
        <v>46080</v>
      </c>
      <c r="AB8" s="66">
        <f t="shared" si="0"/>
        <v>46081</v>
      </c>
      <c r="AC8" s="67">
        <f t="shared" si="0"/>
        <v>46082</v>
      </c>
      <c r="AD8" s="65">
        <f>AC8+1</f>
        <v>46083</v>
      </c>
      <c r="AE8" s="66">
        <f>AD8+1</f>
        <v>46084</v>
      </c>
      <c r="AF8" s="66">
        <f t="shared" si="0"/>
        <v>46085</v>
      </c>
      <c r="AG8" s="66">
        <f t="shared" si="0"/>
        <v>46086</v>
      </c>
      <c r="AH8" s="66">
        <f t="shared" si="0"/>
        <v>46087</v>
      </c>
      <c r="AI8" s="66">
        <f t="shared" si="0"/>
        <v>46088</v>
      </c>
      <c r="AJ8" s="67">
        <f t="shared" si="0"/>
        <v>46089</v>
      </c>
      <c r="AK8" s="65">
        <f>AJ8+1</f>
        <v>46090</v>
      </c>
      <c r="AL8" s="66">
        <f>AK8+1</f>
        <v>46091</v>
      </c>
      <c r="AM8" s="66">
        <f t="shared" si="0"/>
        <v>46092</v>
      </c>
      <c r="AN8" s="66">
        <f t="shared" si="0"/>
        <v>46093</v>
      </c>
      <c r="AO8" s="66">
        <f t="shared" si="0"/>
        <v>46094</v>
      </c>
      <c r="AP8" s="66">
        <f t="shared" si="0"/>
        <v>46095</v>
      </c>
      <c r="AQ8" s="67">
        <f t="shared" si="0"/>
        <v>46096</v>
      </c>
      <c r="AR8" s="65">
        <f>AQ8+1</f>
        <v>46097</v>
      </c>
      <c r="AS8" s="66">
        <f>AR8+1</f>
        <v>46098</v>
      </c>
      <c r="AT8" s="66">
        <f t="shared" si="0"/>
        <v>46099</v>
      </c>
      <c r="AU8" s="66">
        <f t="shared" si="0"/>
        <v>46100</v>
      </c>
      <c r="AV8" s="66">
        <f t="shared" si="0"/>
        <v>46101</v>
      </c>
      <c r="AW8" s="66">
        <f t="shared" si="0"/>
        <v>46102</v>
      </c>
      <c r="AX8" s="67">
        <f t="shared" si="0"/>
        <v>46103</v>
      </c>
      <c r="AY8" s="65">
        <f>AX8+1</f>
        <v>46104</v>
      </c>
      <c r="AZ8" s="66">
        <f>AY8+1</f>
        <v>46105</v>
      </c>
      <c r="BA8" s="66">
        <f t="shared" ref="BA8:BE8" si="1">AZ8+1</f>
        <v>46106</v>
      </c>
      <c r="BB8" s="66">
        <f t="shared" si="1"/>
        <v>46107</v>
      </c>
      <c r="BC8" s="66">
        <f t="shared" si="1"/>
        <v>46108</v>
      </c>
      <c r="BD8" s="66">
        <f t="shared" si="1"/>
        <v>46109</v>
      </c>
      <c r="BE8" s="67">
        <f t="shared" si="1"/>
        <v>46110</v>
      </c>
      <c r="BF8" s="65">
        <f>BE8+1</f>
        <v>46111</v>
      </c>
      <c r="BG8" s="66">
        <f>BF8+1</f>
        <v>46112</v>
      </c>
      <c r="BH8" s="66">
        <f t="shared" ref="BH8:BL8" si="2">BG8+1</f>
        <v>46113</v>
      </c>
      <c r="BI8" s="66">
        <f t="shared" si="2"/>
        <v>46114</v>
      </c>
      <c r="BJ8" s="66">
        <f t="shared" si="2"/>
        <v>46115</v>
      </c>
      <c r="BK8" s="66">
        <f t="shared" si="2"/>
        <v>46116</v>
      </c>
      <c r="BL8" s="67">
        <f t="shared" si="2"/>
        <v>46117</v>
      </c>
      <c r="BM8" s="65">
        <f>BL8+1</f>
        <v>46118</v>
      </c>
      <c r="BN8" s="66">
        <f>BM8+1</f>
        <v>46119</v>
      </c>
      <c r="BO8" s="66">
        <f t="shared" ref="BO8" si="3">BN8+1</f>
        <v>46120</v>
      </c>
      <c r="BP8" s="66">
        <f t="shared" ref="BP8" si="4">BO8+1</f>
        <v>46121</v>
      </c>
      <c r="BQ8" s="66">
        <f t="shared" ref="BQ8" si="5">BP8+1</f>
        <v>46122</v>
      </c>
      <c r="BR8" s="66">
        <f t="shared" ref="BR8" si="6">BQ8+1</f>
        <v>46123</v>
      </c>
      <c r="BS8" s="67">
        <f t="shared" ref="BS8" si="7">BR8+1</f>
        <v>46124</v>
      </c>
    </row>
    <row r="9" spans="1:71" ht="30" customHeight="1" thickBot="1" x14ac:dyDescent="0.35">
      <c r="A9" s="35" t="s">
        <v>5</v>
      </c>
      <c r="B9" s="8" t="s">
        <v>14</v>
      </c>
      <c r="C9" s="9" t="s">
        <v>18</v>
      </c>
      <c r="D9" s="9" t="s">
        <v>19</v>
      </c>
      <c r="E9" s="9" t="s">
        <v>20</v>
      </c>
      <c r="F9" s="9" t="s">
        <v>21</v>
      </c>
      <c r="G9" s="9"/>
      <c r="H9" s="9" t="s">
        <v>22</v>
      </c>
      <c r="I9" s="10" t="str">
        <f t="shared" ref="I9:AN9" si="8">LEFT(TEXT(I8,"ddd"),1)</f>
        <v>M</v>
      </c>
      <c r="J9" s="10" t="str">
        <f t="shared" si="8"/>
        <v>T</v>
      </c>
      <c r="K9" s="10" t="str">
        <f t="shared" si="8"/>
        <v>W</v>
      </c>
      <c r="L9" s="10" t="str">
        <f t="shared" si="8"/>
        <v>T</v>
      </c>
      <c r="M9" s="10" t="str">
        <f t="shared" si="8"/>
        <v>F</v>
      </c>
      <c r="N9" s="10" t="str">
        <f t="shared" si="8"/>
        <v>S</v>
      </c>
      <c r="O9" s="10" t="str">
        <f t="shared" si="8"/>
        <v>S</v>
      </c>
      <c r="P9" s="10" t="str">
        <f t="shared" si="8"/>
        <v>M</v>
      </c>
      <c r="Q9" s="10" t="str">
        <f t="shared" si="8"/>
        <v>T</v>
      </c>
      <c r="R9" s="10" t="str">
        <f t="shared" si="8"/>
        <v>W</v>
      </c>
      <c r="S9" s="10" t="str">
        <f t="shared" si="8"/>
        <v>T</v>
      </c>
      <c r="T9" s="10" t="str">
        <f t="shared" si="8"/>
        <v>F</v>
      </c>
      <c r="U9" s="10" t="str">
        <f t="shared" si="8"/>
        <v>S</v>
      </c>
      <c r="V9" s="10" t="str">
        <f t="shared" si="8"/>
        <v>S</v>
      </c>
      <c r="W9" s="10" t="str">
        <f t="shared" si="8"/>
        <v>M</v>
      </c>
      <c r="X9" s="10" t="str">
        <f t="shared" si="8"/>
        <v>T</v>
      </c>
      <c r="Y9" s="10" t="str">
        <f t="shared" si="8"/>
        <v>W</v>
      </c>
      <c r="Z9" s="10" t="str">
        <f t="shared" si="8"/>
        <v>T</v>
      </c>
      <c r="AA9" s="10" t="str">
        <f t="shared" si="8"/>
        <v>F</v>
      </c>
      <c r="AB9" s="10" t="str">
        <f t="shared" si="8"/>
        <v>S</v>
      </c>
      <c r="AC9" s="10" t="str">
        <f t="shared" si="8"/>
        <v>S</v>
      </c>
      <c r="AD9" s="10" t="str">
        <f t="shared" si="8"/>
        <v>M</v>
      </c>
      <c r="AE9" s="10" t="str">
        <f t="shared" si="8"/>
        <v>T</v>
      </c>
      <c r="AF9" s="10" t="str">
        <f t="shared" si="8"/>
        <v>W</v>
      </c>
      <c r="AG9" s="10" t="str">
        <f t="shared" si="8"/>
        <v>T</v>
      </c>
      <c r="AH9" s="10" t="str">
        <f t="shared" si="8"/>
        <v>F</v>
      </c>
      <c r="AI9" s="10" t="str">
        <f t="shared" si="8"/>
        <v>S</v>
      </c>
      <c r="AJ9" s="10" t="str">
        <f t="shared" si="8"/>
        <v>S</v>
      </c>
      <c r="AK9" s="10" t="str">
        <f t="shared" si="8"/>
        <v>M</v>
      </c>
      <c r="AL9" s="10" t="str">
        <f t="shared" si="8"/>
        <v>T</v>
      </c>
      <c r="AM9" s="10" t="str">
        <f t="shared" si="8"/>
        <v>W</v>
      </c>
      <c r="AN9" s="10" t="str">
        <f t="shared" si="8"/>
        <v>T</v>
      </c>
      <c r="AO9" s="10" t="str">
        <f t="shared" ref="AO9:BS9" si="9">LEFT(TEXT(AO8,"ddd"),1)</f>
        <v>F</v>
      </c>
      <c r="AP9" s="10" t="str">
        <f t="shared" si="9"/>
        <v>S</v>
      </c>
      <c r="AQ9" s="10" t="str">
        <f t="shared" si="9"/>
        <v>S</v>
      </c>
      <c r="AR9" s="10" t="str">
        <f t="shared" si="9"/>
        <v>M</v>
      </c>
      <c r="AS9" s="10" t="str">
        <f t="shared" si="9"/>
        <v>T</v>
      </c>
      <c r="AT9" s="10" t="str">
        <f t="shared" si="9"/>
        <v>W</v>
      </c>
      <c r="AU9" s="10" t="str">
        <f t="shared" si="9"/>
        <v>T</v>
      </c>
      <c r="AV9" s="10" t="str">
        <f t="shared" si="9"/>
        <v>F</v>
      </c>
      <c r="AW9" s="10" t="str">
        <f t="shared" si="9"/>
        <v>S</v>
      </c>
      <c r="AX9" s="10" t="str">
        <f t="shared" si="9"/>
        <v>S</v>
      </c>
      <c r="AY9" s="10" t="str">
        <f t="shared" si="9"/>
        <v>M</v>
      </c>
      <c r="AZ9" s="10" t="str">
        <f t="shared" si="9"/>
        <v>T</v>
      </c>
      <c r="BA9" s="10" t="str">
        <f t="shared" si="9"/>
        <v>W</v>
      </c>
      <c r="BB9" s="10" t="str">
        <f t="shared" si="9"/>
        <v>T</v>
      </c>
      <c r="BC9" s="10" t="str">
        <f t="shared" si="9"/>
        <v>F</v>
      </c>
      <c r="BD9" s="10" t="str">
        <f t="shared" si="9"/>
        <v>S</v>
      </c>
      <c r="BE9" s="10" t="str">
        <f t="shared" si="9"/>
        <v>S</v>
      </c>
      <c r="BF9" s="10" t="str">
        <f t="shared" si="9"/>
        <v>M</v>
      </c>
      <c r="BG9" s="10" t="str">
        <f t="shared" si="9"/>
        <v>T</v>
      </c>
      <c r="BH9" s="10" t="str">
        <f t="shared" si="9"/>
        <v>W</v>
      </c>
      <c r="BI9" s="10" t="str">
        <f t="shared" si="9"/>
        <v>T</v>
      </c>
      <c r="BJ9" s="10" t="str">
        <f t="shared" si="9"/>
        <v>F</v>
      </c>
      <c r="BK9" s="10" t="str">
        <f t="shared" si="9"/>
        <v>S</v>
      </c>
      <c r="BL9" s="10" t="str">
        <f t="shared" si="9"/>
        <v>S</v>
      </c>
      <c r="BM9" s="10" t="str">
        <f t="shared" si="9"/>
        <v>M</v>
      </c>
      <c r="BN9" s="10" t="str">
        <f t="shared" si="9"/>
        <v>T</v>
      </c>
      <c r="BO9" s="10" t="str">
        <f t="shared" si="9"/>
        <v>W</v>
      </c>
      <c r="BP9" s="10" t="str">
        <f t="shared" si="9"/>
        <v>T</v>
      </c>
      <c r="BQ9" s="10" t="str">
        <f t="shared" si="9"/>
        <v>F</v>
      </c>
      <c r="BR9" s="10" t="str">
        <f t="shared" si="9"/>
        <v>S</v>
      </c>
      <c r="BS9" s="10" t="str">
        <f t="shared" si="9"/>
        <v>S</v>
      </c>
    </row>
    <row r="10" spans="1:71" ht="30" hidden="1" customHeight="1" thickBot="1" x14ac:dyDescent="0.35">
      <c r="A10" s="34" t="s">
        <v>6</v>
      </c>
      <c r="C10" s="37"/>
      <c r="E10"/>
      <c r="H10" t="str">
        <f>IF(OR(ISBLANK(task_start),ISBLANK(task_end)),"",task_end-task_start+1)</f>
        <v/>
      </c>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row>
    <row r="11" spans="1:71" s="3" customFormat="1" ht="30" customHeight="1" thickBot="1" x14ac:dyDescent="0.35">
      <c r="A11" s="35" t="s">
        <v>7</v>
      </c>
      <c r="B11" s="15" t="s">
        <v>23</v>
      </c>
      <c r="C11" s="40"/>
      <c r="D11" s="16"/>
      <c r="E11" s="57"/>
      <c r="F11" s="58"/>
      <c r="G11" s="14"/>
      <c r="H11" s="14" t="str">
        <f t="shared" ref="H11:H49" si="10">IF(OR(ISBLANK(task_start),ISBLANK(task_end)),"",task_end-task_start+1)</f>
        <v/>
      </c>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row>
    <row r="12" spans="1:71" s="3" customFormat="1" ht="30" customHeight="1" thickBot="1" x14ac:dyDescent="0.35">
      <c r="A12" s="35" t="s">
        <v>8</v>
      </c>
      <c r="B12" s="49" t="s">
        <v>24</v>
      </c>
      <c r="C12" s="41" t="s">
        <v>53</v>
      </c>
      <c r="D12" s="17">
        <v>1</v>
      </c>
      <c r="E12" s="68">
        <v>46077</v>
      </c>
      <c r="F12" s="68">
        <f>E12+0</f>
        <v>46077</v>
      </c>
      <c r="G12" s="14"/>
      <c r="H12" s="14">
        <f t="shared" si="10"/>
        <v>1</v>
      </c>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row>
    <row r="13" spans="1:71" s="3" customFormat="1" ht="30" customHeight="1" thickBot="1" x14ac:dyDescent="0.35">
      <c r="A13" s="35" t="s">
        <v>9</v>
      </c>
      <c r="B13" s="49" t="s">
        <v>25</v>
      </c>
      <c r="C13" s="41" t="s">
        <v>54</v>
      </c>
      <c r="D13" s="17">
        <v>1</v>
      </c>
      <c r="E13" s="68">
        <v>46077</v>
      </c>
      <c r="F13" s="68">
        <f>E13+0</f>
        <v>46077</v>
      </c>
      <c r="G13" s="14"/>
      <c r="H13" s="14">
        <f t="shared" si="10"/>
        <v>1</v>
      </c>
      <c r="I13" s="30"/>
      <c r="J13" s="30"/>
      <c r="K13" s="30"/>
      <c r="L13" s="30"/>
      <c r="M13" s="30"/>
      <c r="N13" s="30"/>
      <c r="O13" s="30"/>
      <c r="P13" s="30"/>
      <c r="Q13" s="30"/>
      <c r="R13" s="30"/>
      <c r="S13" s="30"/>
      <c r="T13" s="30"/>
      <c r="U13" s="31"/>
      <c r="V13" s="31"/>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row>
    <row r="14" spans="1:71" s="3" customFormat="1" ht="30" customHeight="1" thickBot="1" x14ac:dyDescent="0.35">
      <c r="A14" s="34"/>
      <c r="B14" s="49" t="s">
        <v>26</v>
      </c>
      <c r="C14" s="41" t="s">
        <v>55</v>
      </c>
      <c r="D14" s="17">
        <v>1</v>
      </c>
      <c r="E14" s="68">
        <v>46078</v>
      </c>
      <c r="F14" s="68">
        <f>E14+0</f>
        <v>46078</v>
      </c>
      <c r="G14" s="14"/>
      <c r="H14" s="14">
        <f t="shared" si="10"/>
        <v>1</v>
      </c>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row>
    <row r="15" spans="1:71" s="3" customFormat="1" ht="30" customHeight="1" thickBot="1" x14ac:dyDescent="0.35">
      <c r="A15" s="34"/>
      <c r="B15" s="49" t="s">
        <v>27</v>
      </c>
      <c r="C15" s="41" t="s">
        <v>56</v>
      </c>
      <c r="D15" s="17">
        <v>1</v>
      </c>
      <c r="E15" s="68">
        <v>46078</v>
      </c>
      <c r="F15" s="68">
        <f>E15+0</f>
        <v>46078</v>
      </c>
      <c r="G15" s="14"/>
      <c r="H15" s="14">
        <f t="shared" si="10"/>
        <v>1</v>
      </c>
      <c r="I15" s="30"/>
      <c r="J15" s="30"/>
      <c r="K15" s="30"/>
      <c r="L15" s="30"/>
      <c r="M15" s="30"/>
      <c r="N15" s="30"/>
      <c r="O15" s="30"/>
      <c r="P15" s="30"/>
      <c r="Q15" s="30"/>
      <c r="R15" s="30"/>
      <c r="S15" s="30"/>
      <c r="T15" s="30"/>
      <c r="U15" s="30"/>
      <c r="V15" s="30"/>
      <c r="W15" s="30"/>
      <c r="X15" s="30"/>
      <c r="Y15" s="31"/>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row>
    <row r="16" spans="1:71" s="3" customFormat="1" ht="30" customHeight="1" thickBot="1" x14ac:dyDescent="0.35">
      <c r="A16" s="34"/>
      <c r="B16" s="49" t="s">
        <v>28</v>
      </c>
      <c r="C16" s="41" t="s">
        <v>55</v>
      </c>
      <c r="D16" s="17">
        <v>1</v>
      </c>
      <c r="E16" s="68">
        <v>46078</v>
      </c>
      <c r="F16" s="68">
        <f>E16+1</f>
        <v>46079</v>
      </c>
      <c r="G16" s="14"/>
      <c r="H16" s="14">
        <f t="shared" si="10"/>
        <v>2</v>
      </c>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row>
    <row r="17" spans="1:71" s="3" customFormat="1" ht="30" customHeight="1" thickBot="1" x14ac:dyDescent="0.35">
      <c r="A17" s="35" t="s">
        <v>10</v>
      </c>
      <c r="B17" s="18" t="s">
        <v>29</v>
      </c>
      <c r="C17" s="42"/>
      <c r="D17" s="19"/>
      <c r="E17" s="59"/>
      <c r="F17" s="60"/>
      <c r="G17" s="14"/>
      <c r="H17" s="14" t="str">
        <f t="shared" si="10"/>
        <v/>
      </c>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row>
    <row r="18" spans="1:71" s="3" customFormat="1" ht="30" customHeight="1" thickBot="1" x14ac:dyDescent="0.35">
      <c r="A18" s="35"/>
      <c r="B18" s="50" t="s">
        <v>30</v>
      </c>
      <c r="C18" s="43" t="s">
        <v>57</v>
      </c>
      <c r="D18" s="17">
        <v>1</v>
      </c>
      <c r="E18" s="69">
        <v>46077</v>
      </c>
      <c r="F18" s="69">
        <f>E18+0</f>
        <v>46077</v>
      </c>
      <c r="G18" s="14"/>
      <c r="H18" s="14">
        <f t="shared" si="10"/>
        <v>1</v>
      </c>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row>
    <row r="19" spans="1:71" s="3" customFormat="1" ht="30" customHeight="1" thickBot="1" x14ac:dyDescent="0.35">
      <c r="A19" s="34"/>
      <c r="B19" s="50" t="s">
        <v>31</v>
      </c>
      <c r="C19" s="43" t="s">
        <v>58</v>
      </c>
      <c r="D19" s="17">
        <v>1</v>
      </c>
      <c r="E19" s="69">
        <v>46077</v>
      </c>
      <c r="F19" s="69">
        <f>E19+0</f>
        <v>46077</v>
      </c>
      <c r="G19" s="14"/>
      <c r="H19" s="14">
        <f t="shared" si="10"/>
        <v>1</v>
      </c>
      <c r="I19" s="30"/>
      <c r="J19" s="30"/>
      <c r="K19" s="30"/>
      <c r="L19" s="30"/>
      <c r="M19" s="30"/>
      <c r="N19" s="30"/>
      <c r="O19" s="30"/>
      <c r="P19" s="30"/>
      <c r="Q19" s="30"/>
      <c r="R19" s="30"/>
      <c r="S19" s="30"/>
      <c r="T19" s="30"/>
      <c r="U19" s="31"/>
      <c r="V19" s="31"/>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row>
    <row r="20" spans="1:71" s="3" customFormat="1" ht="30" customHeight="1" thickBot="1" x14ac:dyDescent="0.35">
      <c r="A20" s="34"/>
      <c r="B20" s="50" t="s">
        <v>32</v>
      </c>
      <c r="C20" s="43" t="s">
        <v>55</v>
      </c>
      <c r="D20" s="17">
        <v>1</v>
      </c>
      <c r="E20" s="69">
        <v>46077</v>
      </c>
      <c r="F20" s="69">
        <f>E20+1</f>
        <v>46078</v>
      </c>
      <c r="G20" s="14"/>
      <c r="H20" s="14">
        <f t="shared" si="10"/>
        <v>2</v>
      </c>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row>
    <row r="21" spans="1:71" s="3" customFormat="1" ht="30" customHeight="1" thickBot="1" x14ac:dyDescent="0.35">
      <c r="A21" s="34"/>
      <c r="B21" s="50" t="s">
        <v>33</v>
      </c>
      <c r="C21" s="43" t="s">
        <v>59</v>
      </c>
      <c r="D21" s="17">
        <v>1</v>
      </c>
      <c r="E21" s="69">
        <v>46078</v>
      </c>
      <c r="F21" s="69">
        <f>E21+1</f>
        <v>46079</v>
      </c>
      <c r="G21" s="14"/>
      <c r="H21" s="14">
        <f t="shared" si="10"/>
        <v>2</v>
      </c>
      <c r="I21" s="30"/>
      <c r="J21" s="30"/>
      <c r="K21" s="30"/>
      <c r="L21" s="30"/>
      <c r="M21" s="30"/>
      <c r="N21" s="30"/>
      <c r="O21" s="30"/>
      <c r="P21" s="30"/>
      <c r="Q21" s="30"/>
      <c r="R21" s="30"/>
      <c r="S21" s="30"/>
      <c r="T21" s="30"/>
      <c r="U21" s="30"/>
      <c r="V21" s="30"/>
      <c r="W21" s="30"/>
      <c r="X21" s="30"/>
      <c r="Y21" s="31"/>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row>
    <row r="22" spans="1:71" s="3" customFormat="1" ht="30" customHeight="1" thickBot="1" x14ac:dyDescent="0.35">
      <c r="A22" s="34"/>
      <c r="B22" s="50" t="s">
        <v>34</v>
      </c>
      <c r="C22" s="43" t="s">
        <v>59</v>
      </c>
      <c r="D22" s="17">
        <v>1</v>
      </c>
      <c r="E22" s="69">
        <v>46078</v>
      </c>
      <c r="F22" s="69">
        <f>E22+1</f>
        <v>46079</v>
      </c>
      <c r="G22" s="14"/>
      <c r="H22" s="14">
        <f t="shared" si="10"/>
        <v>2</v>
      </c>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row>
    <row r="23" spans="1:71" s="3" customFormat="1" ht="30" customHeight="1" thickBot="1" x14ac:dyDescent="0.35">
      <c r="A23" s="34" t="s">
        <v>11</v>
      </c>
      <c r="B23" s="20" t="s">
        <v>35</v>
      </c>
      <c r="C23" s="44"/>
      <c r="D23" s="21"/>
      <c r="E23" s="61"/>
      <c r="F23" s="61"/>
      <c r="G23" s="14"/>
      <c r="H23" s="14" t="str">
        <f t="shared" si="10"/>
        <v/>
      </c>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row>
    <row r="24" spans="1:71" s="3" customFormat="1" ht="30" customHeight="1" thickBot="1" x14ac:dyDescent="0.35">
      <c r="A24" s="34"/>
      <c r="B24" s="51" t="s">
        <v>36</v>
      </c>
      <c r="C24" s="45" t="s">
        <v>58</v>
      </c>
      <c r="D24" s="22">
        <v>0</v>
      </c>
      <c r="E24" s="62">
        <f>F24-3</f>
        <v>46135</v>
      </c>
      <c r="F24" s="62">
        <v>46138</v>
      </c>
      <c r="G24" s="14"/>
      <c r="H24" s="14">
        <f t="shared" si="10"/>
        <v>4</v>
      </c>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row>
    <row r="25" spans="1:71" s="3" customFormat="1" ht="30" customHeight="1" thickBot="1" x14ac:dyDescent="0.35">
      <c r="A25" s="34"/>
      <c r="B25" s="51" t="s">
        <v>37</v>
      </c>
      <c r="C25" s="45" t="s">
        <v>58</v>
      </c>
      <c r="D25" s="22">
        <v>0</v>
      </c>
      <c r="E25" s="62">
        <f t="shared" ref="E25:E29" si="11">F25-3</f>
        <v>46135</v>
      </c>
      <c r="F25" s="62">
        <v>46138</v>
      </c>
      <c r="G25" s="14"/>
      <c r="H25" s="14"/>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row>
    <row r="26" spans="1:71" s="3" customFormat="1" ht="30" customHeight="1" thickBot="1" x14ac:dyDescent="0.35">
      <c r="A26" s="34"/>
      <c r="B26" s="51" t="s">
        <v>38</v>
      </c>
      <c r="C26" s="45" t="s">
        <v>59</v>
      </c>
      <c r="D26" s="22">
        <v>0</v>
      </c>
      <c r="E26" s="62">
        <f>F26-4</f>
        <v>46134</v>
      </c>
      <c r="F26" s="62">
        <v>46138</v>
      </c>
      <c r="G26" s="14"/>
      <c r="H26" s="14">
        <f t="shared" si="10"/>
        <v>5</v>
      </c>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row>
    <row r="27" spans="1:71" s="3" customFormat="1" ht="30" customHeight="1" thickBot="1" x14ac:dyDescent="0.35">
      <c r="A27" s="34"/>
      <c r="B27" s="51" t="s">
        <v>39</v>
      </c>
      <c r="C27" s="45" t="s">
        <v>55</v>
      </c>
      <c r="D27" s="22">
        <v>0</v>
      </c>
      <c r="E27" s="62">
        <f t="shared" si="11"/>
        <v>46136</v>
      </c>
      <c r="F27" s="62">
        <v>46139</v>
      </c>
      <c r="G27" s="14"/>
      <c r="H27" s="14">
        <f t="shared" si="10"/>
        <v>4</v>
      </c>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row>
    <row r="28" spans="1:71" s="3" customFormat="1" ht="30" customHeight="1" thickBot="1" x14ac:dyDescent="0.35">
      <c r="A28" s="34"/>
      <c r="B28" s="51" t="s">
        <v>40</v>
      </c>
      <c r="C28" s="45" t="s">
        <v>66</v>
      </c>
      <c r="D28" s="22">
        <v>0</v>
      </c>
      <c r="E28" s="62">
        <f t="shared" si="11"/>
        <v>46136</v>
      </c>
      <c r="F28" s="62">
        <v>46139</v>
      </c>
      <c r="G28" s="14"/>
      <c r="H28" s="14">
        <f t="shared" si="10"/>
        <v>4</v>
      </c>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row>
    <row r="29" spans="1:71" s="3" customFormat="1" ht="30" customHeight="1" thickBot="1" x14ac:dyDescent="0.35">
      <c r="A29" s="34"/>
      <c r="B29" s="51" t="s">
        <v>41</v>
      </c>
      <c r="C29" s="45" t="s">
        <v>56</v>
      </c>
      <c r="D29" s="22">
        <v>0</v>
      </c>
      <c r="E29" s="62">
        <f t="shared" si="11"/>
        <v>46136</v>
      </c>
      <c r="F29" s="62">
        <v>46139</v>
      </c>
      <c r="G29" s="14"/>
      <c r="H29" s="14">
        <f t="shared" si="10"/>
        <v>4</v>
      </c>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row>
    <row r="30" spans="1:71" s="3" customFormat="1" ht="30" customHeight="1" thickBot="1" x14ac:dyDescent="0.35">
      <c r="A30" s="34" t="s">
        <v>11</v>
      </c>
      <c r="B30" s="23" t="s">
        <v>42</v>
      </c>
      <c r="C30" s="46"/>
      <c r="D30" s="24"/>
      <c r="E30" s="63"/>
      <c r="F30" s="63"/>
      <c r="G30" s="14"/>
      <c r="H30" s="14" t="str">
        <f t="shared" si="10"/>
        <v/>
      </c>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row>
    <row r="31" spans="1:71" s="3" customFormat="1" ht="30" customHeight="1" thickBot="1" x14ac:dyDescent="0.35">
      <c r="A31" s="34"/>
      <c r="B31" s="52" t="s">
        <v>67</v>
      </c>
      <c r="C31" s="47" t="s">
        <v>66</v>
      </c>
      <c r="D31" s="25">
        <v>0</v>
      </c>
      <c r="E31" s="70">
        <f>F31-2</f>
        <v>46136</v>
      </c>
      <c r="F31" s="70">
        <v>46138</v>
      </c>
      <c r="G31" s="14"/>
      <c r="H31" s="14">
        <f t="shared" si="10"/>
        <v>3</v>
      </c>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row>
    <row r="32" spans="1:71" s="3" customFormat="1" ht="30" customHeight="1" thickBot="1" x14ac:dyDescent="0.35">
      <c r="A32" s="34"/>
      <c r="B32" s="52" t="s">
        <v>68</v>
      </c>
      <c r="C32" s="47" t="s">
        <v>55</v>
      </c>
      <c r="D32" s="25">
        <v>0</v>
      </c>
      <c r="E32" s="70">
        <f t="shared" ref="E32:E35" si="12">F32-2</f>
        <v>46136</v>
      </c>
      <c r="F32" s="70">
        <v>46138</v>
      </c>
      <c r="G32" s="14"/>
      <c r="H32" s="14">
        <f t="shared" si="10"/>
        <v>3</v>
      </c>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row>
    <row r="33" spans="1:71" s="3" customFormat="1" ht="30" customHeight="1" thickBot="1" x14ac:dyDescent="0.35">
      <c r="A33" s="34"/>
      <c r="B33" s="52" t="s">
        <v>43</v>
      </c>
      <c r="C33" s="47" t="s">
        <v>59</v>
      </c>
      <c r="D33" s="25">
        <v>0</v>
      </c>
      <c r="E33" s="70">
        <f>F33-3</f>
        <v>46135</v>
      </c>
      <c r="F33" s="70">
        <v>46138</v>
      </c>
      <c r="G33" s="14"/>
      <c r="H33" s="14">
        <f t="shared" si="10"/>
        <v>4</v>
      </c>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row>
    <row r="34" spans="1:71" s="3" customFormat="1" ht="30" customHeight="1" thickBot="1" x14ac:dyDescent="0.35">
      <c r="A34" s="34"/>
      <c r="B34" s="52" t="s">
        <v>44</v>
      </c>
      <c r="C34" s="47" t="s">
        <v>58</v>
      </c>
      <c r="D34" s="25">
        <v>0</v>
      </c>
      <c r="E34" s="70">
        <f t="shared" si="12"/>
        <v>46137</v>
      </c>
      <c r="F34" s="70">
        <v>46139</v>
      </c>
      <c r="G34" s="14"/>
      <c r="H34" s="14">
        <f t="shared" si="10"/>
        <v>3</v>
      </c>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row>
    <row r="35" spans="1:71" s="3" customFormat="1" ht="30" customHeight="1" thickBot="1" x14ac:dyDescent="0.35">
      <c r="A35" s="34"/>
      <c r="B35" s="52" t="s">
        <v>45</v>
      </c>
      <c r="C35" s="47" t="s">
        <v>56</v>
      </c>
      <c r="D35" s="25">
        <v>0</v>
      </c>
      <c r="E35" s="70">
        <f t="shared" si="12"/>
        <v>46137</v>
      </c>
      <c r="F35" s="70">
        <v>46139</v>
      </c>
      <c r="G35" s="14"/>
      <c r="H35" s="14">
        <f t="shared" si="10"/>
        <v>3</v>
      </c>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row>
    <row r="36" spans="1:71" s="3" customFormat="1" ht="30" customHeight="1" thickBot="1" x14ac:dyDescent="0.35">
      <c r="A36" s="34"/>
      <c r="B36" s="74" t="s">
        <v>46</v>
      </c>
      <c r="C36" s="75"/>
      <c r="D36" s="76"/>
      <c r="E36" s="77"/>
      <c r="F36" s="77"/>
      <c r="G36" s="14"/>
      <c r="H36" s="14" t="str">
        <f t="shared" si="10"/>
        <v/>
      </c>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row>
    <row r="37" spans="1:71" s="3" customFormat="1" ht="30" customHeight="1" thickBot="1" x14ac:dyDescent="0.35">
      <c r="A37" s="34"/>
      <c r="B37" s="78" t="s">
        <v>47</v>
      </c>
      <c r="C37" s="79" t="s">
        <v>59</v>
      </c>
      <c r="D37" s="80">
        <v>0</v>
      </c>
      <c r="E37" s="81">
        <f>F37-2</f>
        <v>46157</v>
      </c>
      <c r="F37" s="81">
        <v>46159</v>
      </c>
      <c r="G37" s="14"/>
      <c r="H37" s="14"/>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row>
    <row r="38" spans="1:71" s="3" customFormat="1" ht="30" customHeight="1" thickBot="1" x14ac:dyDescent="0.35">
      <c r="A38" s="34"/>
      <c r="B38" s="78" t="s">
        <v>48</v>
      </c>
      <c r="C38" s="79" t="s">
        <v>59</v>
      </c>
      <c r="D38" s="80">
        <v>0</v>
      </c>
      <c r="E38" s="81">
        <f t="shared" ref="E38:E41" si="13">F38-2</f>
        <v>46157</v>
      </c>
      <c r="F38" s="81">
        <v>46159</v>
      </c>
      <c r="G38" s="14"/>
      <c r="H38" s="14"/>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row>
    <row r="39" spans="1:71" s="3" customFormat="1" ht="30" customHeight="1" thickBot="1" x14ac:dyDescent="0.35">
      <c r="A39" s="34"/>
      <c r="B39" s="78" t="s">
        <v>49</v>
      </c>
      <c r="C39" s="79" t="s">
        <v>59</v>
      </c>
      <c r="D39" s="80">
        <v>0</v>
      </c>
      <c r="E39" s="81">
        <f t="shared" si="13"/>
        <v>46157</v>
      </c>
      <c r="F39" s="81">
        <v>46159</v>
      </c>
      <c r="G39" s="14"/>
      <c r="H39" s="14"/>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row>
    <row r="40" spans="1:71" s="3" customFormat="1" ht="30" customHeight="1" thickBot="1" x14ac:dyDescent="0.35">
      <c r="A40" s="34"/>
      <c r="B40" s="78" t="s">
        <v>50</v>
      </c>
      <c r="C40" s="79" t="s">
        <v>59</v>
      </c>
      <c r="D40" s="80">
        <v>0</v>
      </c>
      <c r="E40" s="81">
        <f t="shared" si="13"/>
        <v>46158</v>
      </c>
      <c r="F40" s="81">
        <v>46160</v>
      </c>
      <c r="G40" s="14"/>
      <c r="H40" s="14"/>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row>
    <row r="41" spans="1:71" s="3" customFormat="1" ht="30" customHeight="1" thickBot="1" x14ac:dyDescent="0.35">
      <c r="A41" s="34"/>
      <c r="B41" s="78" t="s">
        <v>51</v>
      </c>
      <c r="C41" s="79" t="s">
        <v>59</v>
      </c>
      <c r="D41" s="80">
        <v>0</v>
      </c>
      <c r="E41" s="81">
        <f t="shared" si="13"/>
        <v>46158</v>
      </c>
      <c r="F41" s="81">
        <v>46160</v>
      </c>
      <c r="G41" s="14"/>
      <c r="H41" s="14"/>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row>
    <row r="42" spans="1:71" s="3" customFormat="1" ht="30" customHeight="1" thickBot="1" x14ac:dyDescent="0.35">
      <c r="A42" s="34"/>
      <c r="B42" s="82" t="s">
        <v>52</v>
      </c>
      <c r="C42" s="83"/>
      <c r="D42" s="84"/>
      <c r="E42" s="85"/>
      <c r="F42" s="85"/>
      <c r="G42" s="14"/>
      <c r="H42" s="14" t="str">
        <f t="shared" si="10"/>
        <v/>
      </c>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row>
    <row r="43" spans="1:71" s="3" customFormat="1" ht="30" customHeight="1" thickBot="1" x14ac:dyDescent="0.35">
      <c r="A43" s="34"/>
      <c r="B43" s="86" t="s">
        <v>69</v>
      </c>
      <c r="C43" s="87" t="s">
        <v>66</v>
      </c>
      <c r="D43" s="88">
        <v>0</v>
      </c>
      <c r="E43" s="89">
        <f>F43-2</f>
        <v>46189</v>
      </c>
      <c r="F43" s="89">
        <v>46191</v>
      </c>
      <c r="G43" s="14"/>
      <c r="H43" s="14"/>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row>
    <row r="44" spans="1:71" s="3" customFormat="1" ht="30" customHeight="1" thickBot="1" x14ac:dyDescent="0.35">
      <c r="A44" s="34"/>
      <c r="B44" s="86" t="s">
        <v>70</v>
      </c>
      <c r="C44" s="87" t="s">
        <v>55</v>
      </c>
      <c r="D44" s="88">
        <v>0</v>
      </c>
      <c r="E44" s="89">
        <f t="shared" ref="E44:E46" si="14">F44-2</f>
        <v>46189</v>
      </c>
      <c r="F44" s="89">
        <v>46191</v>
      </c>
      <c r="G44" s="14"/>
      <c r="H44" s="14"/>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row>
    <row r="45" spans="1:71" s="3" customFormat="1" ht="30" customHeight="1" thickBot="1" x14ac:dyDescent="0.35">
      <c r="A45" s="34"/>
      <c r="B45" s="86" t="s">
        <v>71</v>
      </c>
      <c r="C45" s="87" t="s">
        <v>74</v>
      </c>
      <c r="D45" s="88">
        <v>0</v>
      </c>
      <c r="E45" s="89">
        <f t="shared" si="14"/>
        <v>46189</v>
      </c>
      <c r="F45" s="89">
        <v>46191</v>
      </c>
      <c r="G45" s="14"/>
      <c r="H45" s="14"/>
      <c r="I45" s="30"/>
      <c r="J45" s="30"/>
      <c r="K45" s="30"/>
      <c r="L45" s="96"/>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row>
    <row r="46" spans="1:71" s="3" customFormat="1" ht="30" customHeight="1" thickBot="1" x14ac:dyDescent="0.35">
      <c r="A46" s="34"/>
      <c r="B46" s="86" t="s">
        <v>72</v>
      </c>
      <c r="C46" s="87" t="s">
        <v>56</v>
      </c>
      <c r="D46" s="88">
        <v>0</v>
      </c>
      <c r="E46" s="89">
        <f t="shared" si="14"/>
        <v>46189</v>
      </c>
      <c r="F46" s="89">
        <v>46191</v>
      </c>
      <c r="G46" s="14"/>
      <c r="H46" s="14"/>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row>
    <row r="47" spans="1:71" s="3" customFormat="1" ht="30" customHeight="1" thickBot="1" x14ac:dyDescent="0.35">
      <c r="A47" s="34"/>
      <c r="B47" s="86" t="s">
        <v>73</v>
      </c>
      <c r="C47" s="87" t="s">
        <v>75</v>
      </c>
      <c r="D47" s="88">
        <v>0</v>
      </c>
      <c r="E47" s="89">
        <f>F47-3</f>
        <v>46188</v>
      </c>
      <c r="F47" s="89">
        <v>46191</v>
      </c>
      <c r="G47" s="14"/>
      <c r="H47" s="14"/>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row>
    <row r="48" spans="1:71" s="3" customFormat="1" ht="30" customHeight="1" thickBot="1" x14ac:dyDescent="0.35">
      <c r="A48" s="34" t="s">
        <v>12</v>
      </c>
      <c r="B48" s="53"/>
      <c r="C48" s="48"/>
      <c r="D48" s="13"/>
      <c r="E48" s="71"/>
      <c r="F48" s="71"/>
      <c r="G48" s="14"/>
      <c r="H48" s="14" t="str">
        <f t="shared" si="10"/>
        <v/>
      </c>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row>
    <row r="49" spans="1:71" s="3" customFormat="1" ht="30" customHeight="1" thickBot="1" x14ac:dyDescent="0.35">
      <c r="A49" s="35" t="s">
        <v>13</v>
      </c>
      <c r="B49" s="26" t="s">
        <v>15</v>
      </c>
      <c r="C49" s="27"/>
      <c r="D49" s="28"/>
      <c r="E49" s="64"/>
      <c r="F49" s="64"/>
      <c r="G49" s="29"/>
      <c r="H49" s="29" t="str">
        <f t="shared" si="10"/>
        <v/>
      </c>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row>
    <row r="50" spans="1:71" ht="30" customHeight="1" x14ac:dyDescent="0.3">
      <c r="G50" s="6"/>
    </row>
    <row r="51" spans="1:71" ht="30" customHeight="1" x14ac:dyDescent="0.3">
      <c r="C51" s="11"/>
      <c r="F51" s="36"/>
    </row>
    <row r="52" spans="1:71" ht="30" customHeight="1" x14ac:dyDescent="0.3">
      <c r="C52" s="12"/>
    </row>
  </sheetData>
  <mergeCells count="12">
    <mergeCell ref="BM7:BS7"/>
    <mergeCell ref="C6:D6"/>
    <mergeCell ref="C7:D7"/>
    <mergeCell ref="AK7:AQ7"/>
    <mergeCell ref="AR7:AX7"/>
    <mergeCell ref="AY7:BE7"/>
    <mergeCell ref="BF7:BL7"/>
    <mergeCell ref="E6:F6"/>
    <mergeCell ref="I7:O7"/>
    <mergeCell ref="P7:V7"/>
    <mergeCell ref="W7:AC7"/>
    <mergeCell ref="AD7:AJ7"/>
  </mergeCells>
  <conditionalFormatting sqref="D37:D41 D48:D49 D10:D35">
    <cfRule type="dataBar" priority="4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8:BK49">
    <cfRule type="expression" dxfId="11" priority="67">
      <formula>AND(TODAY()&gt;=I$8,TODAY()&lt;J$8)</formula>
    </cfRule>
  </conditionalFormatting>
  <conditionalFormatting sqref="I10:BK49">
    <cfRule type="expression" dxfId="10" priority="61">
      <formula>AND(task_start&lt;=I$8,ROUNDDOWN((task_end-task_start+1)*task_progress,0)+task_start-1&gt;=I$8)</formula>
    </cfRule>
    <cfRule type="expression" dxfId="9" priority="62" stopIfTrue="1">
      <formula>AND(task_end&gt;=I$8,task_start&lt;J$8)</formula>
    </cfRule>
  </conditionalFormatting>
  <conditionalFormatting sqref="D36">
    <cfRule type="dataBar" priority="31">
      <dataBar>
        <cfvo type="num" val="0"/>
        <cfvo type="num" val="1"/>
        <color theme="0" tint="-0.249977111117893"/>
      </dataBar>
      <extLst>
        <ext xmlns:x14="http://schemas.microsoft.com/office/spreadsheetml/2009/9/main" uri="{B025F937-C7B1-47D3-B67F-A62EFF666E3E}">
          <x14:id>{1345CF71-E56D-48B9-97D1-955FF9B89323}</x14:id>
        </ext>
      </extLst>
    </cfRule>
  </conditionalFormatting>
  <conditionalFormatting sqref="D42">
    <cfRule type="dataBar" priority="27">
      <dataBar>
        <cfvo type="num" val="0"/>
        <cfvo type="num" val="1"/>
        <color theme="0" tint="-0.249977111117893"/>
      </dataBar>
      <extLst>
        <ext xmlns:x14="http://schemas.microsoft.com/office/spreadsheetml/2009/9/main" uri="{B025F937-C7B1-47D3-B67F-A62EFF666E3E}">
          <x14:id>{3371A9CC-1334-4535-9DF3-75E909A7A90F}</x14:id>
        </ext>
      </extLst>
    </cfRule>
  </conditionalFormatting>
  <conditionalFormatting sqref="D47">
    <cfRule type="dataBar" priority="15">
      <dataBar>
        <cfvo type="num" val="0"/>
        <cfvo type="num" val="1"/>
        <color theme="0" tint="-0.249977111117893"/>
      </dataBar>
      <extLst>
        <ext xmlns:x14="http://schemas.microsoft.com/office/spreadsheetml/2009/9/main" uri="{B025F937-C7B1-47D3-B67F-A62EFF666E3E}">
          <x14:id>{EFD490B7-E593-496A-A3A6-56BD5E66D3D7}</x14:id>
        </ext>
      </extLst>
    </cfRule>
  </conditionalFormatting>
  <conditionalFormatting sqref="D43:D46">
    <cfRule type="dataBar" priority="11">
      <dataBar>
        <cfvo type="num" val="0"/>
        <cfvo type="num" val="1"/>
        <color theme="0" tint="-0.249977111117893"/>
      </dataBar>
      <extLst>
        <ext xmlns:x14="http://schemas.microsoft.com/office/spreadsheetml/2009/9/main" uri="{B025F937-C7B1-47D3-B67F-A62EFF666E3E}">
          <x14:id>{6DF81790-BB28-448A-81EB-D8AD014B3F7A}</x14:id>
        </ext>
      </extLst>
    </cfRule>
  </conditionalFormatting>
  <conditionalFormatting sqref="BL8:BL49">
    <cfRule type="expression" dxfId="8" priority="69">
      <formula>AND(TODAY()&gt;=BL$8,TODAY()&lt;BN$8)</formula>
    </cfRule>
  </conditionalFormatting>
  <conditionalFormatting sqref="BL10:BL49">
    <cfRule type="expression" dxfId="7" priority="76">
      <formula>AND(task_start&lt;=BL$8,ROUNDDOWN((task_end-task_start+1)*task_progress,0)+task_start-1&gt;=BL$8)</formula>
    </cfRule>
    <cfRule type="expression" dxfId="6" priority="77" stopIfTrue="1">
      <formula>AND(task_end&gt;=BL$8,task_start&lt;BN$8)</formula>
    </cfRule>
  </conditionalFormatting>
  <conditionalFormatting sqref="BM8:BR49">
    <cfRule type="expression" dxfId="5" priority="6">
      <formula>AND(TODAY()&gt;=BM$8,TODAY()&lt;BN$8)</formula>
    </cfRule>
  </conditionalFormatting>
  <conditionalFormatting sqref="BM10:BR49">
    <cfRule type="expression" dxfId="4" priority="4">
      <formula>AND(task_start&lt;=BM$8,ROUNDDOWN((task_end-task_start+1)*task_progress,0)+task_start-1&gt;=BM$8)</formula>
    </cfRule>
    <cfRule type="expression" dxfId="3" priority="4" stopIfTrue="1">
      <formula>AND(task_end&gt;=BM$8,task_start&lt;BN$8)</formula>
    </cfRule>
  </conditionalFormatting>
  <conditionalFormatting sqref="BS8:BS49">
    <cfRule type="expression" dxfId="2" priority="78">
      <formula>AND(TODAY()&gt;=BS$8,TODAY()&lt;BU$8)</formula>
    </cfRule>
  </conditionalFormatting>
  <conditionalFormatting sqref="BS10:BS49">
    <cfRule type="expression" dxfId="1" priority="5">
      <formula>AND(task_start&lt;=BS$8,ROUNDDOWN((task_end-task_start+1)*task_progress,0)+task_start-1&gt;=BS$8)</formula>
    </cfRule>
    <cfRule type="expression" dxfId="0" priority="79" stopIfTrue="1">
      <formula>AND(task_end&gt;=BS$8,task_start&lt;BU$8)</formula>
    </cfRule>
  </conditionalFormatting>
  <dataValidations count="1">
    <dataValidation type="whole" operator="greaterThanOrEqual" allowBlank="1" showInputMessage="1" promptTitle="Mostrar semana" prompt="Al cambiar este número, se desplazará la vista del diagrama de Gantt." sqref="E7" xr:uid="{00000000-0002-0000-0000-000000000000}">
      <formula1>1</formula1>
    </dataValidation>
  </dataValidations>
  <printOptions horizontalCentered="1"/>
  <pageMargins left="0.35" right="0.35" top="0.35" bottom="0.5" header="0.3" footer="0.3"/>
  <pageSetup paperSize="9" scale="5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D37:D41 D48:D49 D10:D35</xm:sqref>
        </x14:conditionalFormatting>
        <x14:conditionalFormatting xmlns:xm="http://schemas.microsoft.com/office/excel/2006/main">
          <x14:cfRule type="dataBar" id="{1345CF71-E56D-48B9-97D1-955FF9B89323}">
            <x14:dataBar minLength="0" maxLength="100" gradient="0">
              <x14:cfvo type="num">
                <xm:f>0</xm:f>
              </x14:cfvo>
              <x14:cfvo type="num">
                <xm:f>1</xm:f>
              </x14:cfvo>
              <x14:negativeFillColor rgb="FFFF0000"/>
              <x14:axisColor rgb="FF000000"/>
            </x14:dataBar>
          </x14:cfRule>
          <xm:sqref>D36</xm:sqref>
        </x14:conditionalFormatting>
        <x14:conditionalFormatting xmlns:xm="http://schemas.microsoft.com/office/excel/2006/main">
          <x14:cfRule type="dataBar" id="{3371A9CC-1334-4535-9DF3-75E909A7A90F}">
            <x14:dataBar minLength="0" maxLength="100" gradient="0">
              <x14:cfvo type="num">
                <xm:f>0</xm:f>
              </x14:cfvo>
              <x14:cfvo type="num">
                <xm:f>1</xm:f>
              </x14:cfvo>
              <x14:negativeFillColor rgb="FFFF0000"/>
              <x14:axisColor rgb="FF000000"/>
            </x14:dataBar>
          </x14:cfRule>
          <xm:sqref>D42</xm:sqref>
        </x14:conditionalFormatting>
        <x14:conditionalFormatting xmlns:xm="http://schemas.microsoft.com/office/excel/2006/main">
          <x14:cfRule type="dataBar" id="{EFD490B7-E593-496A-A3A6-56BD5E66D3D7}">
            <x14:dataBar minLength="0" maxLength="100" gradient="0">
              <x14:cfvo type="num">
                <xm:f>0</xm:f>
              </x14:cfvo>
              <x14:cfvo type="num">
                <xm:f>1</xm:f>
              </x14:cfvo>
              <x14:negativeFillColor rgb="FFFF0000"/>
              <x14:axisColor rgb="FF000000"/>
            </x14:dataBar>
          </x14:cfRule>
          <xm:sqref>D47</xm:sqref>
        </x14:conditionalFormatting>
        <x14:conditionalFormatting xmlns:xm="http://schemas.microsoft.com/office/excel/2006/main">
          <x14:cfRule type="dataBar" id="{6DF81790-BB28-448A-81EB-D8AD014B3F7A}">
            <x14:dataBar minLength="0" maxLength="100" gradient="0">
              <x14:cfvo type="num">
                <xm:f>0</xm:f>
              </x14:cfvo>
              <x14:cfvo type="num">
                <xm:f>1</xm:f>
              </x14:cfvo>
              <x14:negativeFillColor rgb="FFFF0000"/>
              <x14:axisColor rgb="FF000000"/>
            </x14:dataBar>
          </x14:cfRule>
          <xm:sqref>D43:D46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Level optizone TdeA</vt:lpstr>
      <vt:lpstr>Inicio_del_proyecto</vt:lpstr>
      <vt:lpstr>Semana_para_mostrar</vt:lpstr>
      <vt:lpstr>'Level optizone TdeA'!task_end</vt:lpstr>
      <vt:lpstr>'Level optizone TdeA'!task_progress</vt:lpstr>
      <vt:lpstr>'Level optizone TdeA'!task_start</vt:lpstr>
      <vt:lpstr>'Level optizone TdeA'!Títulos_a_imprimir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2026-03-05T16:02:16Z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
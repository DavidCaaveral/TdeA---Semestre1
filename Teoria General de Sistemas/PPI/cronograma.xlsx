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filterPrivacy="1" codeName="ThisWorkbook"/>
  <xr:revisionPtr revIDLastSave="0" documentId="8_{DCDCB683-E37F-4A9F-A0C7-4CF789F96AE9}" xr6:coauthVersionLast="47" xr6:coauthVersionMax="47" xr10:uidLastSave="{00000000-0000-0000-0000-000000000000}"/>
  <bookViews>
    <workbookView xWindow="-108" yWindow="-108" windowWidth="23256" windowHeight="12456" xr2:uid="{00000000-000D-0000-FFFF-FFFF00000000}"/>
  </bookViews>
  <sheets>
    <sheet name="Level optizone TdeA" sheetId="11" r:id="rId1"/>
  </sheets>
  <definedNames>
    <definedName name="hoy" localSheetId="0">TODAY()</definedName>
    <definedName name="Inicio_del_proyecto">'Level optizone TdeA'!$E$6</definedName>
    <definedName name="Semana_para_mostrar">'Level optizone TdeA'!$E$7</definedName>
    <definedName name="task_end" localSheetId="0">'Level optizone TdeA'!$F1</definedName>
    <definedName name="task_progress" localSheetId="0">'Level optizone TdeA'!$D1</definedName>
    <definedName name="task_start" localSheetId="0">'Level optizone TdeA'!$E1</definedName>
    <definedName name="_xlnm.Print_Titles" localSheetId="0">'Level optizone TdeA'!$7:$9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47" i="11" l="1"/>
  <c r="E33" i="11"/>
  <c r="E26" i="11"/>
  <c r="E44" i="11"/>
  <c r="E45" i="11"/>
  <c r="E46" i="11"/>
  <c r="E43" i="11"/>
  <c r="E38" i="11"/>
  <c r="E39" i="11"/>
  <c r="E40" i="11"/>
  <c r="E41" i="11"/>
  <c r="E37" i="11"/>
  <c r="E32" i="11"/>
  <c r="E34" i="11"/>
  <c r="E35" i="11"/>
  <c r="E31" i="11"/>
  <c r="E25" i="11"/>
  <c r="E27" i="11"/>
  <c r="E28" i="11"/>
  <c r="E29" i="11"/>
  <c r="E24" i="11"/>
  <c r="F16" i="11"/>
  <c r="E6" i="11"/>
  <c r="F22" i="11"/>
  <c r="F21" i="11"/>
  <c r="F12" i="11"/>
  <c r="F20" i="11"/>
  <c r="F19" i="11"/>
  <c r="F18" i="11"/>
  <c r="F15" i="11"/>
  <c r="F14" i="11"/>
  <c r="F13" i="11"/>
  <c r="H42" i="11" l="1"/>
  <c r="H36" i="11"/>
  <c r="H10" i="11"/>
  <c r="I8" i="11" l="1"/>
  <c r="H49" i="11"/>
  <c r="H48" i="11"/>
  <c r="H35" i="11"/>
  <c r="H34" i="11"/>
  <c r="H33" i="11"/>
  <c r="H32" i="11"/>
  <c r="H30" i="11"/>
  <c r="H23" i="11"/>
  <c r="H17" i="11"/>
  <c r="H11" i="11"/>
  <c r="H12" i="11" l="1"/>
  <c r="I9" i="11"/>
  <c r="H31" i="11" l="1"/>
  <c r="H13" i="11"/>
  <c r="H18" i="11"/>
  <c r="H16" i="11"/>
  <c r="J8" i="11"/>
  <c r="K8" i="11" s="1"/>
  <c r="L8" i="11" s="1"/>
  <c r="M8" i="11" s="1"/>
  <c r="N8" i="11" s="1"/>
  <c r="O8" i="11" s="1"/>
  <c r="P8" i="11" s="1"/>
  <c r="I7" i="11"/>
  <c r="H24" i="11" l="1"/>
  <c r="H26" i="11"/>
  <c r="H19" i="11"/>
  <c r="H14" i="11"/>
  <c r="H15" i="11"/>
  <c r="P7" i="11"/>
  <c r="Q8" i="11"/>
  <c r="R8" i="11" s="1"/>
  <c r="S8" i="11" s="1"/>
  <c r="T8" i="11" s="1"/>
  <c r="U8" i="11" s="1"/>
  <c r="V8" i="11" s="1"/>
  <c r="W8" i="11" s="1"/>
  <c r="J9" i="11"/>
  <c r="H29" i="11" l="1"/>
  <c r="H22" i="11"/>
  <c r="H21" i="11"/>
  <c r="H20" i="11"/>
  <c r="W7" i="11"/>
  <c r="X8" i="11"/>
  <c r="Y8" i="11" s="1"/>
  <c r="Z8" i="11" s="1"/>
  <c r="AA8" i="11" s="1"/>
  <c r="AB8" i="11" s="1"/>
  <c r="AC8" i="11" s="1"/>
  <c r="AD8" i="11" s="1"/>
  <c r="K9" i="11"/>
  <c r="H28" i="11" l="1"/>
  <c r="H27" i="11"/>
  <c r="AE8" i="11"/>
  <c r="AF8" i="11" s="1"/>
  <c r="AG8" i="11" s="1"/>
  <c r="AH8" i="11" s="1"/>
  <c r="AI8" i="11" s="1"/>
  <c r="AJ8" i="11" s="1"/>
  <c r="AD7" i="11"/>
  <c r="L9" i="11"/>
  <c r="AK8" i="11" l="1"/>
  <c r="AL8" i="11" s="1"/>
  <c r="AM8" i="11" s="1"/>
  <c r="AN8" i="11" s="1"/>
  <c r="AO8" i="11" s="1"/>
  <c r="AP8" i="11" s="1"/>
  <c r="AQ8" i="11" s="1"/>
  <c r="M9" i="11"/>
  <c r="AR8" i="11" l="1"/>
  <c r="AS8" i="11" s="1"/>
  <c r="AK7" i="11"/>
  <c r="N9" i="11"/>
  <c r="AT8" i="11" l="1"/>
  <c r="AS9" i="11"/>
  <c r="AR7" i="11"/>
  <c r="O9" i="11"/>
  <c r="AU8" i="11" l="1"/>
  <c r="AT9" i="11"/>
  <c r="AV8" i="11" l="1"/>
  <c r="AU9" i="11"/>
  <c r="P9" i="11"/>
  <c r="Q9" i="11"/>
  <c r="AW8" i="11" l="1"/>
  <c r="AV9" i="11"/>
  <c r="R9" i="11"/>
  <c r="AX8" i="11" l="1"/>
  <c r="AY8" i="11" s="1"/>
  <c r="AW9" i="11"/>
  <c r="AZ8" i="11" l="1"/>
  <c r="AY7" i="11"/>
  <c r="S9" i="11" s="1"/>
  <c r="AX9" i="11"/>
  <c r="T9" i="11"/>
  <c r="AY9" i="11" l="1"/>
  <c r="BA8" i="11"/>
  <c r="AZ9" i="11"/>
  <c r="U9" i="11"/>
  <c r="BA9" i="11" l="1"/>
  <c r="BB8" i="11"/>
  <c r="V9" i="11"/>
  <c r="BB9" i="11" l="1"/>
  <c r="BC8" i="11"/>
  <c r="W9" i="11"/>
  <c r="BC9" i="11" l="1"/>
  <c r="BD8" i="11"/>
  <c r="X9" i="11"/>
  <c r="BE8" i="11" l="1"/>
  <c r="BD9" i="11"/>
  <c r="Y9" i="11"/>
  <c r="BE9" i="11" l="1"/>
  <c r="BF8" i="11"/>
  <c r="BF9" i="11" l="1"/>
  <c r="BG8" i="11"/>
  <c r="BF7" i="11"/>
  <c r="Z9" i="11" s="1"/>
  <c r="AA9" i="11"/>
  <c r="BG9" i="11" l="1"/>
  <c r="BH8" i="11"/>
  <c r="AB9" i="11"/>
  <c r="BI8" i="11" l="1"/>
  <c r="BH9" i="11"/>
  <c r="AC9" i="11"/>
  <c r="BJ8" i="11" l="1"/>
  <c r="BI9" i="11"/>
  <c r="AD9" i="11"/>
  <c r="BK8" i="11" l="1"/>
  <c r="BJ9" i="11"/>
  <c r="AE9" i="11"/>
  <c r="BL8" i="11" l="1"/>
  <c r="BM8" i="11" s="1"/>
  <c r="BK9" i="11"/>
  <c r="AF9" i="11"/>
  <c r="BM9" i="11" l="1"/>
  <c r="BM7" i="11"/>
  <c r="BN8" i="11"/>
  <c r="BL9" i="11"/>
  <c r="AG9" i="11"/>
  <c r="BO8" i="11" l="1"/>
  <c r="BN9" i="11"/>
  <c r="AH9" i="11"/>
  <c r="BO9" i="11" l="1"/>
  <c r="BP8" i="11"/>
  <c r="AI9" i="11"/>
  <c r="BQ8" i="11" l="1"/>
  <c r="BP9" i="11"/>
  <c r="AJ9" i="11"/>
  <c r="BR8" i="11" l="1"/>
  <c r="BQ9" i="11"/>
  <c r="AK9" i="11"/>
  <c r="BR9" i="11" l="1"/>
  <c r="BS8" i="11"/>
  <c r="BS9" i="11" s="1"/>
  <c r="AL9" i="11"/>
  <c r="AM9" i="11" l="1"/>
  <c r="AN9" i="11" l="1"/>
  <c r="AO9" i="11" l="1"/>
  <c r="AP9" i="11" l="1"/>
  <c r="AQ9" i="11" l="1"/>
  <c r="AR9" i="11" l="1"/>
</calcChain>
</file>

<file path=xl/sharedStrings.xml><?xml version="1.0" encoding="utf-8"?>
<sst xmlns="http://schemas.openxmlformats.org/spreadsheetml/2006/main" count="98" uniqueCount="76">
  <si>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</si>
  <si>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</si>
  <si>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</si>
  <si>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</si>
  <si>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</si>
  <si>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</si>
  <si>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</si>
  <si>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</si>
  <si>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</si>
  <si>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</si>
  <si>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</si>
  <si>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</si>
  <si>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</si>
  <si>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</si>
  <si>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TAREA</t>
  </si>
  <si>
    <t>Inserte nuevas filas ENCIMA de ésta</t>
  </si>
  <si>
    <t>Inicio del proyecto:</t>
  </si>
  <si>
    <t>Semana para mostrar:</t>
  </si>
  <si>
    <t>ASIGNADO
A</t>
  </si>
  <si>
    <t>PROGRESO</t>
  </si>
  <si>
    <t>INICIO</t>
  </si>
  <si>
    <t>FIN</t>
  </si>
  <si>
    <t>DÍAS</t>
  </si>
  <si>
    <t>CONTEXTO DEL PROYECTO</t>
  </si>
  <si>
    <t>Nombre del proyecto</t>
  </si>
  <si>
    <t>Nombre del sistema</t>
  </si>
  <si>
    <t>Antecedentes de la organzación</t>
  </si>
  <si>
    <t>Antecedentes del sistema</t>
  </si>
  <si>
    <t xml:space="preserve">Cronograma del proyecto </t>
  </si>
  <si>
    <t>PLANTEAMIENTO DEL PROYECTO</t>
  </si>
  <si>
    <t>Justificación</t>
  </si>
  <si>
    <t>Objetivo general</t>
  </si>
  <si>
    <t xml:space="preserve">Objetivos especificos </t>
  </si>
  <si>
    <t>Alcance</t>
  </si>
  <si>
    <t>Metodologia</t>
  </si>
  <si>
    <t>DESCRIPCIÓN DE LA ORGANIZACIÓN</t>
  </si>
  <si>
    <t>Razón Social</t>
  </si>
  <si>
    <t>Ubicación</t>
  </si>
  <si>
    <t xml:space="preserve">Organigrama </t>
  </si>
  <si>
    <t>Descripcion de areas que conforman la organización</t>
  </si>
  <si>
    <t>Mision</t>
  </si>
  <si>
    <t>Vision</t>
  </si>
  <si>
    <t>PROPUESTA DEL SISTEMA PARA EL PROCESO ORGANIZACIONAL</t>
  </si>
  <si>
    <t>Funciones del sistema propuesto</t>
  </si>
  <si>
    <t>Recursos tecnicos requeridos</t>
  </si>
  <si>
    <t xml:space="preserve">Recursos tecnologicos requeridos </t>
  </si>
  <si>
    <t>REPRESENTACIÓN ALGORÍTMICA</t>
  </si>
  <si>
    <t>Funcion 1</t>
  </si>
  <si>
    <t>Funcion 2</t>
  </si>
  <si>
    <t>Funcion 3</t>
  </si>
  <si>
    <t>Funcion 4</t>
  </si>
  <si>
    <t>Funcion 5</t>
  </si>
  <si>
    <t>REFERENCIAS</t>
  </si>
  <si>
    <t>Emmanuel y David</t>
  </si>
  <si>
    <t>Emmanuel y Sebastian</t>
  </si>
  <si>
    <t>David</t>
  </si>
  <si>
    <t>Gustavo</t>
  </si>
  <si>
    <t xml:space="preserve">Emmanuel </t>
  </si>
  <si>
    <t xml:space="preserve">Sebastian </t>
  </si>
  <si>
    <t>TODOS</t>
  </si>
  <si>
    <t>Proyecto: Software para Optimización Operacional Next level</t>
  </si>
  <si>
    <t>Tecnologico de Antioquia</t>
  </si>
  <si>
    <t>David Cañaveral Lopera</t>
  </si>
  <si>
    <t>Emmanuel Rivas Milanés</t>
  </si>
  <si>
    <t>Gustavo Muñoz Osorio</t>
  </si>
  <si>
    <t>Sebastián Correa Montoya</t>
  </si>
  <si>
    <t>Emmanuel</t>
  </si>
  <si>
    <t>Descripción del problema</t>
  </si>
  <si>
    <t>Descripción del sistema propuesto</t>
  </si>
  <si>
    <t>Referecias Punto 1</t>
  </si>
  <si>
    <t>Referencias Punto 2</t>
  </si>
  <si>
    <t>Referencias Punto 3</t>
  </si>
  <si>
    <t>Referencias Punto 4</t>
  </si>
  <si>
    <t>Referencias Punto 5</t>
  </si>
  <si>
    <t>Sebastian</t>
  </si>
  <si>
    <t xml:space="preserve">Todos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</si>
</sst>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1" formatCode="_(* #,##0_);_(* \(#,##0\);_(* &quot;-&quot;_);_(@_)"/>
    <numFmt numFmtId="43" formatCode="_(* #,##0.00_);_(* \(#,##0.00\);_(* &quot;-&quot;??_);_(@_)"/>
    <numFmt numFmtId="164" formatCode="_-* #,##0\ &quot;€&quot;_-;\-* #,##0\ &quot;€&quot;_-;_-* &quot;-&quot;\ &quot;€&quot;_-;_-@_-"/>
    <numFmt numFmtId="165" formatCode="_-* #,##0.00\ &quot;€&quot;_-;\-* #,##0.00\ &quot;€&quot;_-;_-* &quot;-&quot;??\ &quot;€&quot;_-;_-@_-"/>
    <numFmt numFmtId="166" formatCode="ddd\,\ m/d/yyyy"/>
    <numFmt numFmtId="167" formatCode="[$-C0A]d\ &quot;de&quot;\ mmmm\ &quot;de&quot;\ yyyy;@"/>
    <numFmt numFmtId="168" formatCode="d\-m\-yy;@"/>
    <numFmt numFmtId="169" formatCode="d"/>
  </numFmts>
  <fonts count="32"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4"/>
      <color theme="1"/>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7558519241921"/>
        <bgColor indexed="64"/>
      </patternFill>
    </fill>
    <fill>
      <patternFill patternType="solid">
        <fgColor theme="9" tint="0.79998168889431442"/>
        <bgColor indexed="64"/>
      </patternFill>
    </fill>
    <fill>
      <patternFill patternType="solid">
        <fgColor theme="2" tint="-0.499984740745262"/>
        <bgColor indexed="64"/>
      </patternFill>
    </fill>
    <fill>
      <patternFill patternType="solid">
        <fgColor theme="2" tint="-9.9978637043366805E-2"/>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6" fillId="0" borderId="0"/>
    <xf numFmtId="43"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9" fillId="0" borderId="0" applyNumberFormat="0" applyFill="0" applyBorder="0" applyAlignment="0" applyProtection="0"/>
    <xf numFmtId="41" fontId="9"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0" fontId="20" fillId="0" borderId="0" applyNumberFormat="0" applyFill="0" applyBorder="0" applyAlignment="0" applyProtection="0"/>
    <xf numFmtId="0" fontId="21" fillId="14" borderId="0" applyNumberFormat="0" applyBorder="0" applyAlignment="0" applyProtection="0"/>
    <xf numFmtId="0" fontId="22" fillId="15" borderId="0" applyNumberFormat="0" applyBorder="0" applyAlignment="0" applyProtection="0"/>
    <xf numFmtId="0" fontId="23" fillId="16" borderId="0" applyNumberFormat="0" applyBorder="0" applyAlignment="0" applyProtection="0"/>
    <xf numFmtId="0" fontId="24" fillId="17" borderId="11" applyNumberFormat="0" applyAlignment="0" applyProtection="0"/>
    <xf numFmtId="0" fontId="25" fillId="18" borderId="12" applyNumberFormat="0" applyAlignment="0" applyProtection="0"/>
    <xf numFmtId="0" fontId="26" fillId="18" borderId="11" applyNumberFormat="0" applyAlignment="0" applyProtection="0"/>
    <xf numFmtId="0" fontId="27" fillId="0" borderId="13" applyNumberFormat="0" applyFill="0" applyAlignment="0" applyProtection="0"/>
    <xf numFmtId="0" fontId="28" fillId="19" borderId="14" applyNumberFormat="0" applyAlignment="0" applyProtection="0"/>
    <xf numFmtId="0" fontId="29" fillId="0" borderId="0" applyNumberFormat="0" applyFill="0" applyBorder="0" applyAlignment="0" applyProtection="0"/>
    <xf numFmtId="0" fontId="9" fillId="20" borderId="15" applyNumberFormat="0" applyFont="0" applyAlignment="0" applyProtection="0"/>
    <xf numFmtId="0" fontId="30" fillId="0" borderId="0" applyNumberFormat="0" applyFill="0" applyBorder="0" applyAlignment="0" applyProtection="0"/>
    <xf numFmtId="0" fontId="6" fillId="0" borderId="16" applyNumberFormat="0" applyFill="0" applyAlignment="0" applyProtection="0"/>
    <xf numFmtId="0" fontId="16"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6"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6"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6"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6"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6"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6">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6" fillId="0" borderId="0" xfId="3"/>
    <xf numFmtId="0" fontId="16" fillId="0" borderId="0" xfId="3" applyAlignment="1">
      <alignment wrapText="1"/>
    </xf>
    <xf numFmtId="0" fontId="16"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17" fillId="0" borderId="0" xfId="0" applyFont="1"/>
    <xf numFmtId="0" fontId="18" fillId="0" borderId="0" xfId="1" applyFont="1" applyProtection="1">
      <alignment vertical="top"/>
    </xf>
    <xf numFmtId="168" fontId="0" fillId="8" borderId="2" xfId="0" applyNumberFormat="1" applyFill="1" applyBorder="1" applyAlignment="1">
      <alignment horizontal="center" vertical="center"/>
    </xf>
    <xf numFmtId="168" fontId="5" fillId="8" borderId="2" xfId="0" applyNumberFormat="1" applyFont="1" applyFill="1" applyBorder="1" applyAlignment="1">
      <alignment horizontal="center" vertical="center"/>
    </xf>
    <xf numFmtId="168" fontId="0" fillId="9" borderId="2" xfId="0" applyNumberFormat="1" applyFill="1" applyBorder="1" applyAlignment="1">
      <alignment horizontal="center" vertical="center"/>
    </xf>
    <xf numFmtId="168" fontId="5" fillId="9" borderId="2" xfId="0" applyNumberFormat="1" applyFont="1" applyFill="1" applyBorder="1" applyAlignment="1">
      <alignment horizontal="center" vertical="center"/>
    </xf>
    <xf numFmtId="168" fontId="0" fillId="6" borderId="2" xfId="0" applyNumberFormat="1" applyFill="1" applyBorder="1" applyAlignment="1">
      <alignment horizontal="center" vertical="center"/>
    </xf>
    <xf numFmtId="168" fontId="9" fillId="11" borderId="2" xfId="10" applyFill="1">
      <alignment horizontal="center" vertical="center"/>
    </xf>
    <xf numFmtId="168" fontId="0" fillId="5" borderId="2" xfId="0" applyNumberFormat="1" applyFill="1" applyBorder="1" applyAlignment="1">
      <alignment horizontal="center" vertical="center"/>
    </xf>
    <xf numFmtId="168" fontId="4" fillId="2" borderId="2" xfId="0" applyNumberFormat="1" applyFont="1" applyFill="1" applyBorder="1" applyAlignment="1">
      <alignment horizontal="left" vertical="center"/>
    </xf>
    <xf numFmtId="169" fontId="11" fillId="7" borderId="6" xfId="0" applyNumberFormat="1" applyFont="1" applyFill="1" applyBorder="1" applyAlignment="1">
      <alignment horizontal="center" vertical="center"/>
    </xf>
    <xf numFmtId="169" fontId="11" fillId="7" borderId="0" xfId="0" applyNumberFormat="1" applyFont="1" applyFill="1" applyAlignment="1">
      <alignment horizontal="center" vertical="center"/>
    </xf>
    <xf numFmtId="169" fontId="11" fillId="7" borderId="7" xfId="0" applyNumberFormat="1" applyFont="1" applyFill="1" applyBorder="1" applyAlignment="1">
      <alignment horizontal="center" vertical="center"/>
    </xf>
    <xf numFmtId="168" fontId="9" fillId="3" borderId="2" xfId="10" applyFill="1">
      <alignment horizontal="center" vertical="center"/>
    </xf>
    <xf numFmtId="168" fontId="9" fillId="4" borderId="2" xfId="10" applyFill="1">
      <alignment horizontal="center" vertical="center"/>
    </xf>
    <xf numFmtId="168" fontId="9" fillId="10" borderId="2" xfId="10" applyFill="1">
      <alignment horizontal="center" vertical="center"/>
    </xf>
    <xf numFmtId="168" fontId="9" fillId="0" borderId="2" xfId="10">
      <alignment horizontal="center" vertical="center"/>
    </xf>
    <xf numFmtId="14" fontId="0" fillId="0" borderId="0" xfId="0" applyNumberFormat="1"/>
    <xf numFmtId="0" fontId="31" fillId="0" borderId="0" xfId="6" applyFont="1"/>
    <xf numFmtId="0" fontId="6" fillId="45" borderId="2" xfId="0" applyFont="1" applyFill="1" applyBorder="1" applyAlignment="1">
      <alignment horizontal="left" vertical="center" indent="1"/>
    </xf>
    <xf numFmtId="0" fontId="9" fillId="45" borderId="2" xfId="11" applyFill="1">
      <alignment horizontal="center" vertical="center"/>
    </xf>
    <xf numFmtId="9" fontId="5" fillId="45" borderId="2" xfId="2" applyFont="1" applyFill="1" applyBorder="1" applyAlignment="1">
      <alignment horizontal="center" vertical="center"/>
    </xf>
    <xf numFmtId="168" fontId="0" fillId="45" borderId="2" xfId="0" applyNumberFormat="1" applyFill="1" applyBorder="1" applyAlignment="1">
      <alignment horizontal="center" vertical="center"/>
    </xf>
    <xf numFmtId="0" fontId="9" fillId="46" borderId="2" xfId="12" applyFill="1">
      <alignment horizontal="left" vertical="center" indent="2"/>
    </xf>
    <xf numFmtId="0" fontId="9" fillId="46" borderId="2" xfId="11" applyFill="1">
      <alignment horizontal="center" vertical="center"/>
    </xf>
    <xf numFmtId="9" fontId="5" fillId="46" borderId="2" xfId="2" applyFont="1" applyFill="1" applyBorder="1" applyAlignment="1">
      <alignment horizontal="center" vertical="center"/>
    </xf>
    <xf numFmtId="168" fontId="9" fillId="46" borderId="2" xfId="10" applyFill="1">
      <alignment horizontal="center" vertical="center"/>
    </xf>
    <xf numFmtId="0" fontId="6" fillId="47" borderId="2" xfId="0" applyFont="1" applyFill="1" applyBorder="1" applyAlignment="1">
      <alignment horizontal="left" vertical="center" indent="1"/>
    </xf>
    <xf numFmtId="0" fontId="9" fillId="47" borderId="2" xfId="11" applyFill="1">
      <alignment horizontal="center" vertical="center"/>
    </xf>
    <xf numFmtId="9" fontId="5" fillId="47" borderId="2" xfId="2" applyFont="1" applyFill="1" applyBorder="1" applyAlignment="1">
      <alignment horizontal="center" vertical="center"/>
    </xf>
    <xf numFmtId="168" fontId="0" fillId="47" borderId="2" xfId="0" applyNumberFormat="1" applyFill="1" applyBorder="1" applyAlignment="1">
      <alignment horizontal="center" vertical="center"/>
    </xf>
    <xf numFmtId="0" fontId="9" fillId="48" borderId="2" xfId="12" applyFill="1">
      <alignment horizontal="left" vertical="center" indent="2"/>
    </xf>
    <xf numFmtId="0" fontId="9" fillId="48" borderId="2" xfId="11" applyFill="1">
      <alignment horizontal="center" vertical="center"/>
    </xf>
    <xf numFmtId="9" fontId="5" fillId="48" borderId="2" xfId="2" applyFont="1" applyFill="1" applyBorder="1" applyAlignment="1">
      <alignment horizontal="center" vertical="center"/>
    </xf>
    <xf numFmtId="168" fontId="9" fillId="48" borderId="2" xfId="10" applyFill="1">
      <alignment horizontal="center" vertical="center"/>
    </xf>
    <xf numFmtId="167" fontId="0" fillId="7" borderId="4" xfId="0" applyNumberFormat="1" applyFill="1" applyBorder="1" applyAlignment="1">
      <alignment horizontal="left" vertical="center" wrapText="1" indent="1"/>
    </xf>
    <xf numFmtId="167" fontId="0" fillId="7" borderId="1" xfId="0" applyNumberFormat="1" applyFill="1" applyBorder="1" applyAlignment="1">
      <alignment horizontal="left" vertical="center" wrapText="1" indent="1"/>
    </xf>
    <xf numFmtId="167" fontId="0" fillId="7" borderId="5" xfId="0" applyNumberFormat="1" applyFill="1" applyBorder="1" applyAlignment="1">
      <alignment horizontal="left" vertical="center" wrapText="1" indent="1"/>
    </xf>
    <xf numFmtId="0" fontId="9" fillId="0" borderId="0" xfId="8">
      <alignment horizontal="right" indent="1"/>
    </xf>
    <xf numFmtId="0" fontId="9" fillId="0" borderId="7" xfId="8" applyBorder="1">
      <alignment horizontal="right" indent="1"/>
    </xf>
    <xf numFmtId="166" fontId="9" fillId="0" borderId="3" xfId="9">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1">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S52"/>
  <sheetViews>
    <sheetView showGridLines="0" tabSelected="1" showRuler="0" zoomScaleNormal="55" zoomScalePageLayoutView="70" workbookViewId="0">
      <pane ySplit="9" topLeftCell="A19" activePane="bottomLeft" state="frozen"/>
      <selection pane="bottomLeft" activeCell="P39" sqref="P39"/>
    </sheetView>
  </sheetViews>
  <sheetFormatPr baseColWidth="10" defaultColWidth="9.109375" defaultRowHeight="30" customHeight="1" x14ac:dyDescent="0.3"/>
  <cols>
    <col min="1" max="1" width="2.6640625" style="34" customWidth="1"/>
    <col min="2" max="2" width="51.88671875" customWidth="1"/>
    <col min="3" max="3" width="21" bestFit="1" customWidth="1"/>
    <col min="4" max="4" width="10.6640625" customWidth="1"/>
    <col min="5" max="5" width="10.44140625" style="5" customWidth="1"/>
    <col min="6" max="6" width="10.44140625" customWidth="1"/>
    <col min="7" max="7" width="2.6640625" customWidth="1"/>
    <col min="8" max="8" width="9.44140625" hidden="1" customWidth="1"/>
    <col min="9" max="65" width="3.33203125" customWidth="1"/>
    <col min="66" max="71" width="2.6640625" bestFit="1" customWidth="1"/>
  </cols>
  <sheetData>
    <row r="1" spans="1:71" ht="30" customHeight="1" x14ac:dyDescent="0.55000000000000004">
      <c r="A1" s="35" t="s">
        <v>0</v>
      </c>
      <c r="B1" s="38" t="s">
        <v>60</v>
      </c>
      <c r="C1" s="1"/>
      <c r="D1" s="2"/>
      <c r="E1" s="4"/>
      <c r="F1" s="33"/>
      <c r="H1" s="2"/>
      <c r="I1" s="55"/>
    </row>
    <row r="2" spans="1:71" ht="6.75" customHeight="1" x14ac:dyDescent="0.55000000000000004">
      <c r="A2" s="35"/>
      <c r="B2" s="38"/>
      <c r="C2" s="1"/>
      <c r="D2" s="2"/>
      <c r="E2" s="4"/>
      <c r="F2" s="33"/>
      <c r="H2" s="2"/>
      <c r="I2" s="55"/>
    </row>
    <row r="3" spans="1:71" ht="20.25" customHeight="1" x14ac:dyDescent="0.35">
      <c r="A3" s="34" t="s">
        <v>1</v>
      </c>
      <c r="B3" s="73" t="s">
        <v>61</v>
      </c>
      <c r="D3" s="39" t="s">
        <v>62</v>
      </c>
      <c r="G3" s="39" t="s">
        <v>64</v>
      </c>
      <c r="I3" s="56"/>
      <c r="L3" s="72"/>
    </row>
    <row r="4" spans="1:71" ht="18" x14ac:dyDescent="0.35">
      <c r="B4" s="73"/>
      <c r="D4" s="39" t="s">
        <v>63</v>
      </c>
      <c r="G4" s="39" t="s">
        <v>65</v>
      </c>
      <c r="I4" s="56"/>
      <c r="L4" s="72"/>
    </row>
    <row r="5" spans="1:71" ht="4.5" customHeight="1" x14ac:dyDescent="0.35">
      <c r="B5" s="73"/>
      <c r="D5" s="39"/>
      <c r="G5" s="39"/>
      <c r="I5" s="56"/>
      <c r="L5" s="72"/>
    </row>
    <row r="6" spans="1:71" ht="18" customHeight="1" x14ac:dyDescent="0.35">
      <c r="A6" s="34" t="s">
        <v>2</v>
      </c>
      <c r="B6" s="39"/>
      <c r="C6" s="93" t="s">
        <v>16</v>
      </c>
      <c r="D6" s="94"/>
      <c r="E6" s="95">
        <f>DATE(2026,2,8)</f>
        <v>46061</v>
      </c>
      <c r="F6" s="95"/>
    </row>
    <row r="7" spans="1:71" ht="18" customHeight="1" x14ac:dyDescent="0.35">
      <c r="A7" s="35" t="s">
        <v>3</v>
      </c>
      <c r="B7" s="39"/>
      <c r="C7" s="93" t="s">
        <v>17</v>
      </c>
      <c r="D7" s="94"/>
      <c r="E7" s="7">
        <v>1</v>
      </c>
      <c r="I7" s="90">
        <f>I8</f>
        <v>46062</v>
      </c>
      <c r="J7" s="91"/>
      <c r="K7" s="91"/>
      <c r="L7" s="91"/>
      <c r="M7" s="91"/>
      <c r="N7" s="91"/>
      <c r="O7" s="92"/>
      <c r="P7" s="90">
        <f>P8</f>
        <v>46069</v>
      </c>
      <c r="Q7" s="91"/>
      <c r="R7" s="91"/>
      <c r="S7" s="91"/>
      <c r="T7" s="91"/>
      <c r="U7" s="91"/>
      <c r="V7" s="92"/>
      <c r="W7" s="90">
        <f>W8</f>
        <v>46076</v>
      </c>
      <c r="X7" s="91"/>
      <c r="Y7" s="91"/>
      <c r="Z7" s="91"/>
      <c r="AA7" s="91"/>
      <c r="AB7" s="91"/>
      <c r="AC7" s="92"/>
      <c r="AD7" s="90">
        <f>AD8</f>
        <v>46083</v>
      </c>
      <c r="AE7" s="91"/>
      <c r="AF7" s="91"/>
      <c r="AG7" s="91"/>
      <c r="AH7" s="91"/>
      <c r="AI7" s="91"/>
      <c r="AJ7" s="92"/>
      <c r="AK7" s="90">
        <f>AK8</f>
        <v>46090</v>
      </c>
      <c r="AL7" s="91"/>
      <c r="AM7" s="91"/>
      <c r="AN7" s="91"/>
      <c r="AO7" s="91"/>
      <c r="AP7" s="91"/>
      <c r="AQ7" s="92"/>
      <c r="AR7" s="90">
        <f>AR8</f>
        <v>46097</v>
      </c>
      <c r="AS7" s="91"/>
      <c r="AT7" s="91"/>
      <c r="AU7" s="91"/>
      <c r="AV7" s="91"/>
      <c r="AW7" s="91"/>
      <c r="AX7" s="92"/>
      <c r="AY7" s="90">
        <f>AY8</f>
        <v>46104</v>
      </c>
      <c r="AZ7" s="91"/>
      <c r="BA7" s="91"/>
      <c r="BB7" s="91"/>
      <c r="BC7" s="91"/>
      <c r="BD7" s="91"/>
      <c r="BE7" s="92"/>
      <c r="BF7" s="90">
        <f>BF8</f>
        <v>46111</v>
      </c>
      <c r="BG7" s="91"/>
      <c r="BH7" s="91"/>
      <c r="BI7" s="91"/>
      <c r="BJ7" s="91"/>
      <c r="BK7" s="91"/>
      <c r="BL7" s="92"/>
      <c r="BM7" s="90">
        <f>BM8</f>
        <v>46118</v>
      </c>
      <c r="BN7" s="91"/>
      <c r="BO7" s="91"/>
      <c r="BP7" s="91"/>
      <c r="BQ7" s="91"/>
      <c r="BR7" s="91"/>
      <c r="BS7" s="92"/>
    </row>
    <row r="8" spans="1:71" ht="15" customHeight="1" x14ac:dyDescent="0.3">
      <c r="A8" s="35" t="s">
        <v>4</v>
      </c>
      <c r="B8" s="54"/>
      <c r="C8" s="54"/>
      <c r="D8" s="54"/>
      <c r="E8" s="54"/>
      <c r="F8" s="54"/>
      <c r="G8" s="54"/>
      <c r="I8" s="65">
        <f>Inicio_del_proyecto-WEEKDAY(Inicio_del_proyecto,1)+2+7*(Semana_para_mostrar-1)</f>
        <v>46062</v>
      </c>
      <c r="J8" s="66">
        <f>I8+1</f>
        <v>46063</v>
      </c>
      <c r="K8" s="66">
        <f t="shared" ref="K8:AX8" si="0">J8+1</f>
        <v>46064</v>
      </c>
      <c r="L8" s="66">
        <f t="shared" si="0"/>
        <v>46065</v>
      </c>
      <c r="M8" s="66">
        <f t="shared" si="0"/>
        <v>46066</v>
      </c>
      <c r="N8" s="66">
        <f t="shared" si="0"/>
        <v>46067</v>
      </c>
      <c r="O8" s="67">
        <f t="shared" si="0"/>
        <v>46068</v>
      </c>
      <c r="P8" s="65">
        <f>O8+1</f>
        <v>46069</v>
      </c>
      <c r="Q8" s="66">
        <f>P8+1</f>
        <v>46070</v>
      </c>
      <c r="R8" s="66">
        <f t="shared" si="0"/>
        <v>46071</v>
      </c>
      <c r="S8" s="66">
        <f t="shared" si="0"/>
        <v>46072</v>
      </c>
      <c r="T8" s="66">
        <f t="shared" si="0"/>
        <v>46073</v>
      </c>
      <c r="U8" s="66">
        <f t="shared" si="0"/>
        <v>46074</v>
      </c>
      <c r="V8" s="67">
        <f t="shared" si="0"/>
        <v>46075</v>
      </c>
      <c r="W8" s="65">
        <f>V8+1</f>
        <v>46076</v>
      </c>
      <c r="X8" s="66">
        <f>W8+1</f>
        <v>46077</v>
      </c>
      <c r="Y8" s="66">
        <f t="shared" si="0"/>
        <v>46078</v>
      </c>
      <c r="Z8" s="66">
        <f t="shared" si="0"/>
        <v>46079</v>
      </c>
      <c r="AA8" s="66">
        <f t="shared" si="0"/>
        <v>46080</v>
      </c>
      <c r="AB8" s="66">
        <f t="shared" si="0"/>
        <v>46081</v>
      </c>
      <c r="AC8" s="67">
        <f t="shared" si="0"/>
        <v>46082</v>
      </c>
      <c r="AD8" s="65">
        <f>AC8+1</f>
        <v>46083</v>
      </c>
      <c r="AE8" s="66">
        <f>AD8+1</f>
        <v>46084</v>
      </c>
      <c r="AF8" s="66">
        <f t="shared" si="0"/>
        <v>46085</v>
      </c>
      <c r="AG8" s="66">
        <f t="shared" si="0"/>
        <v>46086</v>
      </c>
      <c r="AH8" s="66">
        <f t="shared" si="0"/>
        <v>46087</v>
      </c>
      <c r="AI8" s="66">
        <f t="shared" si="0"/>
        <v>46088</v>
      </c>
      <c r="AJ8" s="67">
        <f t="shared" si="0"/>
        <v>46089</v>
      </c>
      <c r="AK8" s="65">
        <f>AJ8+1</f>
        <v>46090</v>
      </c>
      <c r="AL8" s="66">
        <f>AK8+1</f>
        <v>46091</v>
      </c>
      <c r="AM8" s="66">
        <f t="shared" si="0"/>
        <v>46092</v>
      </c>
      <c r="AN8" s="66">
        <f t="shared" si="0"/>
        <v>46093</v>
      </c>
      <c r="AO8" s="66">
        <f t="shared" si="0"/>
        <v>46094</v>
      </c>
      <c r="AP8" s="66">
        <f t="shared" si="0"/>
        <v>46095</v>
      </c>
      <c r="AQ8" s="67">
        <f t="shared" si="0"/>
        <v>46096</v>
      </c>
      <c r="AR8" s="65">
        <f>AQ8+1</f>
        <v>46097</v>
      </c>
      <c r="AS8" s="66">
        <f>AR8+1</f>
        <v>46098</v>
      </c>
      <c r="AT8" s="66">
        <f t="shared" si="0"/>
        <v>46099</v>
      </c>
      <c r="AU8" s="66">
        <f t="shared" si="0"/>
        <v>46100</v>
      </c>
      <c r="AV8" s="66">
        <f t="shared" si="0"/>
        <v>46101</v>
      </c>
      <c r="AW8" s="66">
        <f t="shared" si="0"/>
        <v>46102</v>
      </c>
      <c r="AX8" s="67">
        <f t="shared" si="0"/>
        <v>46103</v>
      </c>
      <c r="AY8" s="65">
        <f>AX8+1</f>
        <v>46104</v>
      </c>
      <c r="AZ8" s="66">
        <f>AY8+1</f>
        <v>46105</v>
      </c>
      <c r="BA8" s="66">
        <f t="shared" ref="BA8:BE8" si="1">AZ8+1</f>
        <v>46106</v>
      </c>
      <c r="BB8" s="66">
        <f t="shared" si="1"/>
        <v>46107</v>
      </c>
      <c r="BC8" s="66">
        <f t="shared" si="1"/>
        <v>46108</v>
      </c>
      <c r="BD8" s="66">
        <f t="shared" si="1"/>
        <v>46109</v>
      </c>
      <c r="BE8" s="67">
        <f t="shared" si="1"/>
        <v>46110</v>
      </c>
      <c r="BF8" s="65">
        <f>BE8+1</f>
        <v>46111</v>
      </c>
      <c r="BG8" s="66">
        <f>BF8+1</f>
        <v>46112</v>
      </c>
      <c r="BH8" s="66">
        <f t="shared" ref="BH8:BL8" si="2">BG8+1</f>
        <v>46113</v>
      </c>
      <c r="BI8" s="66">
        <f t="shared" si="2"/>
        <v>46114</v>
      </c>
      <c r="BJ8" s="66">
        <f t="shared" si="2"/>
        <v>46115</v>
      </c>
      <c r="BK8" s="66">
        <f t="shared" si="2"/>
        <v>46116</v>
      </c>
      <c r="BL8" s="67">
        <f t="shared" si="2"/>
        <v>46117</v>
      </c>
      <c r="BM8" s="65">
        <f>BL8+1</f>
        <v>46118</v>
      </c>
      <c r="BN8" s="66">
        <f>BM8+1</f>
        <v>46119</v>
      </c>
      <c r="BO8" s="66">
        <f t="shared" ref="BO8" si="3">BN8+1</f>
        <v>46120</v>
      </c>
      <c r="BP8" s="66">
        <f t="shared" ref="BP8" si="4">BO8+1</f>
        <v>46121</v>
      </c>
      <c r="BQ8" s="66">
        <f t="shared" ref="BQ8" si="5">BP8+1</f>
        <v>46122</v>
      </c>
      <c r="BR8" s="66">
        <f t="shared" ref="BR8" si="6">BQ8+1</f>
        <v>46123</v>
      </c>
      <c r="BS8" s="67">
        <f t="shared" ref="BS8" si="7">BR8+1</f>
        <v>46124</v>
      </c>
    </row>
    <row r="9" spans="1:71" ht="30" customHeight="1" thickBot="1" x14ac:dyDescent="0.35">
      <c r="A9" s="35" t="s">
        <v>5</v>
      </c>
      <c r="B9" s="8" t="s">
        <v>14</v>
      </c>
      <c r="C9" s="9" t="s">
        <v>18</v>
      </c>
      <c r="D9" s="9" t="s">
        <v>19</v>
      </c>
      <c r="E9" s="9" t="s">
        <v>20</v>
      </c>
      <c r="F9" s="9" t="s">
        <v>21</v>
      </c>
      <c r="G9" s="9"/>
      <c r="H9" s="9" t="s">
        <v>22</v>
      </c>
      <c r="I9" s="10" t="str">
        <f t="shared" ref="I9:AN9" si="8">LEFT(TEXT(I8,"ddd"),1)</f>
        <v>M</v>
      </c>
      <c r="J9" s="10" t="str">
        <f t="shared" si="8"/>
        <v>T</v>
      </c>
      <c r="K9" s="10" t="str">
        <f t="shared" si="8"/>
        <v>W</v>
      </c>
      <c r="L9" s="10" t="str">
        <f t="shared" si="8"/>
        <v>T</v>
      </c>
      <c r="M9" s="10" t="str">
        <f t="shared" si="8"/>
        <v>F</v>
      </c>
      <c r="N9" s="10" t="str">
        <f t="shared" si="8"/>
        <v>S</v>
      </c>
      <c r="O9" s="10" t="str">
        <f t="shared" si="8"/>
        <v>S</v>
      </c>
      <c r="P9" s="10" t="str">
        <f t="shared" si="8"/>
        <v>M</v>
      </c>
      <c r="Q9" s="10" t="str">
        <f t="shared" si="8"/>
        <v>T</v>
      </c>
      <c r="R9" s="10" t="str">
        <f t="shared" si="8"/>
        <v>W</v>
      </c>
      <c r="S9" s="10" t="str">
        <f t="shared" si="8"/>
        <v>T</v>
      </c>
      <c r="T9" s="10" t="str">
        <f t="shared" si="8"/>
        <v>F</v>
      </c>
      <c r="U9" s="10" t="str">
        <f t="shared" si="8"/>
        <v>S</v>
      </c>
      <c r="V9" s="10" t="str">
        <f t="shared" si="8"/>
        <v>S</v>
      </c>
      <c r="W9" s="10" t="str">
        <f t="shared" si="8"/>
        <v>M</v>
      </c>
      <c r="X9" s="10" t="str">
        <f t="shared" si="8"/>
        <v>T</v>
      </c>
      <c r="Y9" s="10" t="str">
        <f t="shared" si="8"/>
        <v>W</v>
      </c>
      <c r="Z9" s="10" t="str">
        <f t="shared" si="8"/>
        <v>T</v>
      </c>
      <c r="AA9" s="10" t="str">
        <f t="shared" si="8"/>
        <v>F</v>
      </c>
      <c r="AB9" s="10" t="str">
        <f t="shared" si="8"/>
        <v>S</v>
      </c>
      <c r="AC9" s="10" t="str">
        <f t="shared" si="8"/>
        <v>S</v>
      </c>
      <c r="AD9" s="10" t="str">
        <f t="shared" si="8"/>
        <v>M</v>
      </c>
      <c r="AE9" s="10" t="str">
        <f t="shared" si="8"/>
        <v>T</v>
      </c>
      <c r="AF9" s="10" t="str">
        <f t="shared" si="8"/>
        <v>W</v>
      </c>
      <c r="AG9" s="10" t="str">
        <f t="shared" si="8"/>
        <v>T</v>
      </c>
      <c r="AH9" s="10" t="str">
        <f t="shared" si="8"/>
        <v>F</v>
      </c>
      <c r="AI9" s="10" t="str">
        <f t="shared" si="8"/>
        <v>S</v>
      </c>
      <c r="AJ9" s="10" t="str">
        <f t="shared" si="8"/>
        <v>S</v>
      </c>
      <c r="AK9" s="10" t="str">
        <f t="shared" si="8"/>
        <v>M</v>
      </c>
      <c r="AL9" s="10" t="str">
        <f t="shared" si="8"/>
        <v>T</v>
      </c>
      <c r="AM9" s="10" t="str">
        <f t="shared" si="8"/>
        <v>W</v>
      </c>
      <c r="AN9" s="10" t="str">
        <f t="shared" si="8"/>
        <v>T</v>
      </c>
      <c r="AO9" s="10" t="str">
        <f t="shared" ref="AO9:BS9" si="9">LEFT(TEXT(AO8,"ddd"),1)</f>
        <v>F</v>
      </c>
      <c r="AP9" s="10" t="str">
        <f t="shared" si="9"/>
        <v>S</v>
      </c>
      <c r="AQ9" s="10" t="str">
        <f t="shared" si="9"/>
        <v>S</v>
      </c>
      <c r="AR9" s="10" t="str">
        <f t="shared" si="9"/>
        <v>M</v>
      </c>
      <c r="AS9" s="10" t="str">
        <f t="shared" si="9"/>
        <v>T</v>
      </c>
      <c r="AT9" s="10" t="str">
        <f t="shared" si="9"/>
        <v>W</v>
      </c>
      <c r="AU9" s="10" t="str">
        <f t="shared" si="9"/>
        <v>T</v>
      </c>
      <c r="AV9" s="10" t="str">
        <f t="shared" si="9"/>
        <v>F</v>
      </c>
      <c r="AW9" s="10" t="str">
        <f t="shared" si="9"/>
        <v>S</v>
      </c>
      <c r="AX9" s="10" t="str">
        <f t="shared" si="9"/>
        <v>S</v>
      </c>
      <c r="AY9" s="10" t="str">
        <f t="shared" si="9"/>
        <v>M</v>
      </c>
      <c r="AZ9" s="10" t="str">
        <f t="shared" si="9"/>
        <v>T</v>
      </c>
      <c r="BA9" s="10" t="str">
        <f t="shared" si="9"/>
        <v>W</v>
      </c>
      <c r="BB9" s="10" t="str">
        <f t="shared" si="9"/>
        <v>T</v>
      </c>
      <c r="BC9" s="10" t="str">
        <f t="shared" si="9"/>
        <v>F</v>
      </c>
      <c r="BD9" s="10" t="str">
        <f t="shared" si="9"/>
        <v>S</v>
      </c>
      <c r="BE9" s="10" t="str">
        <f t="shared" si="9"/>
        <v>S</v>
      </c>
      <c r="BF9" s="10" t="str">
        <f t="shared" si="9"/>
        <v>M</v>
      </c>
      <c r="BG9" s="10" t="str">
        <f t="shared" si="9"/>
        <v>T</v>
      </c>
      <c r="BH9" s="10" t="str">
        <f t="shared" si="9"/>
        <v>W</v>
      </c>
      <c r="BI9" s="10" t="str">
        <f t="shared" si="9"/>
        <v>T</v>
      </c>
      <c r="BJ9" s="10" t="str">
        <f t="shared" si="9"/>
        <v>F</v>
      </c>
      <c r="BK9" s="10" t="str">
        <f t="shared" si="9"/>
        <v>S</v>
      </c>
      <c r="BL9" s="10" t="str">
        <f t="shared" si="9"/>
        <v>S</v>
      </c>
      <c r="BM9" s="10" t="str">
        <f t="shared" si="9"/>
        <v>M</v>
      </c>
      <c r="BN9" s="10" t="str">
        <f t="shared" si="9"/>
        <v>T</v>
      </c>
      <c r="BO9" s="10" t="str">
        <f t="shared" si="9"/>
        <v>W</v>
      </c>
      <c r="BP9" s="10" t="str">
        <f t="shared" si="9"/>
        <v>T</v>
      </c>
      <c r="BQ9" s="10" t="str">
        <f t="shared" si="9"/>
        <v>F</v>
      </c>
      <c r="BR9" s="10" t="str">
        <f t="shared" si="9"/>
        <v>S</v>
      </c>
      <c r="BS9" s="10" t="str">
        <f t="shared" si="9"/>
        <v>S</v>
      </c>
    </row>
    <row r="10" spans="1:71" ht="30" hidden="1" customHeight="1" thickBot="1" x14ac:dyDescent="0.35">
      <c r="A10" s="34" t="s">
        <v>6</v>
      </c>
      <c r="C10" s="37"/>
      <c r="E10"/>
      <c r="H10" t="str">
        <f>IF(OR(ISBLANK(task_start),ISBLANK(task_end)),"",task_end-task_start+1)</f>
        <v/>
      </c>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0"/>
      <c r="BB10" s="30"/>
      <c r="BC10" s="30"/>
      <c r="BD10" s="30"/>
      <c r="BE10" s="30"/>
      <c r="BF10" s="30"/>
      <c r="BG10" s="30"/>
      <c r="BH10" s="30"/>
      <c r="BI10" s="30"/>
      <c r="BJ10" s="30"/>
      <c r="BK10" s="30"/>
      <c r="BL10" s="30"/>
      <c r="BM10" s="30"/>
      <c r="BN10" s="30"/>
      <c r="BO10" s="30"/>
      <c r="BP10" s="30"/>
      <c r="BQ10" s="30"/>
      <c r="BR10" s="30"/>
      <c r="BS10" s="30"/>
    </row>
    <row r="11" spans="1:71" s="3" customFormat="1" ht="30" customHeight="1" thickBot="1" x14ac:dyDescent="0.35">
      <c r="A11" s="35" t="s">
        <v>7</v>
      </c>
      <c r="B11" s="15" t="s">
        <v>23</v>
      </c>
      <c r="C11" s="40"/>
      <c r="D11" s="16"/>
      <c r="E11" s="57"/>
      <c r="F11" s="58"/>
      <c r="G11" s="14"/>
      <c r="H11" s="14" t="str">
        <f t="shared" ref="H11:H49" si="10">IF(OR(ISBLANK(task_start),ISBLANK(task_end)),"",task_end-task_start+1)</f>
        <v/>
      </c>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c r="AQ11" s="30"/>
      <c r="AR11" s="30"/>
      <c r="AS11" s="30"/>
      <c r="AT11" s="30"/>
      <c r="AU11" s="30"/>
      <c r="AV11" s="30"/>
      <c r="AW11" s="30"/>
      <c r="AX11" s="30"/>
      <c r="AY11" s="30"/>
      <c r="AZ11" s="30"/>
      <c r="BA11" s="30"/>
      <c r="BB11" s="30"/>
      <c r="BC11" s="30"/>
      <c r="BD11" s="30"/>
      <c r="BE11" s="30"/>
      <c r="BF11" s="30"/>
      <c r="BG11" s="30"/>
      <c r="BH11" s="30"/>
      <c r="BI11" s="30"/>
      <c r="BJ11" s="30"/>
      <c r="BK11" s="30"/>
      <c r="BL11" s="30"/>
      <c r="BM11" s="30"/>
      <c r="BN11" s="30"/>
      <c r="BO11" s="30"/>
      <c r="BP11" s="30"/>
      <c r="BQ11" s="30"/>
      <c r="BR11" s="30"/>
      <c r="BS11" s="30"/>
    </row>
    <row r="12" spans="1:71" s="3" customFormat="1" ht="30" customHeight="1" thickBot="1" x14ac:dyDescent="0.35">
      <c r="A12" s="35" t="s">
        <v>8</v>
      </c>
      <c r="B12" s="49" t="s">
        <v>24</v>
      </c>
      <c r="C12" s="41" t="s">
        <v>53</v>
      </c>
      <c r="D12" s="17">
        <v>1</v>
      </c>
      <c r="E12" s="68">
        <v>46077</v>
      </c>
      <c r="F12" s="68">
        <f>E12+0</f>
        <v>46077</v>
      </c>
      <c r="G12" s="14"/>
      <c r="H12" s="14">
        <f t="shared" si="10"/>
        <v>1</v>
      </c>
      <c r="I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c r="AQ12" s="30"/>
      <c r="AR12" s="30"/>
      <c r="AS12" s="30"/>
      <c r="AT12" s="30"/>
      <c r="AU12" s="30"/>
      <c r="AV12" s="30"/>
      <c r="AW12" s="30"/>
      <c r="AX12" s="30"/>
      <c r="AY12" s="30"/>
      <c r="AZ12" s="30"/>
      <c r="BA12" s="30"/>
      <c r="BB12" s="30"/>
      <c r="BC12" s="30"/>
      <c r="BD12" s="30"/>
      <c r="BE12" s="30"/>
      <c r="BF12" s="30"/>
      <c r="BG12" s="30"/>
      <c r="BH12" s="30"/>
      <c r="BI12" s="30"/>
      <c r="BJ12" s="30"/>
      <c r="BK12" s="30"/>
      <c r="BL12" s="30"/>
      <c r="BM12" s="30"/>
      <c r="BN12" s="30"/>
      <c r="BO12" s="30"/>
      <c r="BP12" s="30"/>
      <c r="BQ12" s="30"/>
      <c r="BR12" s="30"/>
      <c r="BS12" s="30"/>
    </row>
    <row r="13" spans="1:71" s="3" customFormat="1" ht="30" customHeight="1" thickBot="1" x14ac:dyDescent="0.35">
      <c r="A13" s="35" t="s">
        <v>9</v>
      </c>
      <c r="B13" s="49" t="s">
        <v>25</v>
      </c>
      <c r="C13" s="41" t="s">
        <v>54</v>
      </c>
      <c r="D13" s="17">
        <v>1</v>
      </c>
      <c r="E13" s="68">
        <v>46077</v>
      </c>
      <c r="F13" s="68">
        <f>E13+0</f>
        <v>46077</v>
      </c>
      <c r="G13" s="14"/>
      <c r="H13" s="14">
        <f t="shared" si="10"/>
        <v>1</v>
      </c>
      <c r="I13" s="30"/>
      <c r="J13" s="30"/>
      <c r="K13" s="30"/>
      <c r="L13" s="30"/>
      <c r="M13" s="30"/>
      <c r="N13" s="30"/>
      <c r="O13" s="30"/>
      <c r="P13" s="30"/>
      <c r="Q13" s="30"/>
      <c r="R13" s="30"/>
      <c r="S13" s="30"/>
      <c r="T13" s="30"/>
      <c r="U13" s="31"/>
      <c r="V13" s="31"/>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0"/>
      <c r="BR13" s="30"/>
      <c r="BS13" s="30"/>
    </row>
    <row r="14" spans="1:71" s="3" customFormat="1" ht="30" customHeight="1" thickBot="1" x14ac:dyDescent="0.35">
      <c r="A14" s="34"/>
      <c r="B14" s="49" t="s">
        <v>26</v>
      </c>
      <c r="C14" s="41" t="s">
        <v>55</v>
      </c>
      <c r="D14" s="17">
        <v>1</v>
      </c>
      <c r="E14" s="68">
        <v>46078</v>
      </c>
      <c r="F14" s="68">
        <f>E14+0</f>
        <v>46078</v>
      </c>
      <c r="G14" s="14"/>
      <c r="H14" s="14">
        <f t="shared" si="10"/>
        <v>1</v>
      </c>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c r="AM14" s="30"/>
      <c r="AN14" s="30"/>
      <c r="AO14" s="30"/>
      <c r="AP14" s="30"/>
      <c r="AQ14" s="30"/>
      <c r="AR14" s="30"/>
      <c r="AS14" s="30"/>
      <c r="AT14" s="30"/>
      <c r="AU14" s="30"/>
      <c r="AV14" s="30"/>
      <c r="AW14" s="30"/>
      <c r="AX14" s="30"/>
      <c r="AY14" s="30"/>
      <c r="AZ14" s="30"/>
      <c r="BA14" s="30"/>
      <c r="BB14" s="30"/>
      <c r="BC14" s="30"/>
      <c r="BD14" s="30"/>
      <c r="BE14" s="30"/>
      <c r="BF14" s="30"/>
      <c r="BG14" s="30"/>
      <c r="BH14" s="30"/>
      <c r="BI14" s="30"/>
      <c r="BJ14" s="30"/>
      <c r="BK14" s="30"/>
      <c r="BL14" s="30"/>
      <c r="BM14" s="30"/>
      <c r="BN14" s="30"/>
      <c r="BO14" s="30"/>
      <c r="BP14" s="30"/>
      <c r="BQ14" s="30"/>
      <c r="BR14" s="30"/>
      <c r="BS14" s="30"/>
    </row>
    <row r="15" spans="1:71" s="3" customFormat="1" ht="30" customHeight="1" thickBot="1" x14ac:dyDescent="0.35">
      <c r="A15" s="34"/>
      <c r="B15" s="49" t="s">
        <v>27</v>
      </c>
      <c r="C15" s="41" t="s">
        <v>56</v>
      </c>
      <c r="D15" s="17">
        <v>1</v>
      </c>
      <c r="E15" s="68">
        <v>46078</v>
      </c>
      <c r="F15" s="68">
        <f>E15+0</f>
        <v>46078</v>
      </c>
      <c r="G15" s="14"/>
      <c r="H15" s="14">
        <f t="shared" si="10"/>
        <v>1</v>
      </c>
      <c r="I15" s="30"/>
      <c r="J15" s="30"/>
      <c r="K15" s="30"/>
      <c r="L15" s="30"/>
      <c r="M15" s="30"/>
      <c r="N15" s="30"/>
      <c r="O15" s="30"/>
      <c r="P15" s="30"/>
      <c r="Q15" s="30"/>
      <c r="R15" s="30"/>
      <c r="S15" s="30"/>
      <c r="T15" s="30"/>
      <c r="U15" s="30"/>
      <c r="V15" s="30"/>
      <c r="W15" s="30"/>
      <c r="X15" s="30"/>
      <c r="Y15" s="31"/>
      <c r="Z15" s="30"/>
      <c r="AA15" s="30"/>
      <c r="AB15" s="30"/>
      <c r="AC15" s="30"/>
      <c r="AD15" s="30"/>
      <c r="AE15" s="30"/>
      <c r="AF15" s="30"/>
      <c r="AG15" s="30"/>
      <c r="AH15" s="30"/>
      <c r="AI15" s="30"/>
      <c r="AJ15" s="30"/>
      <c r="AK15" s="30"/>
      <c r="AL15" s="30"/>
      <c r="AM15" s="30"/>
      <c r="AN15" s="30"/>
      <c r="AO15" s="30"/>
      <c r="AP15" s="30"/>
      <c r="AQ15" s="30"/>
      <c r="AR15" s="30"/>
      <c r="AS15" s="30"/>
      <c r="AT15" s="30"/>
      <c r="AU15" s="30"/>
      <c r="AV15" s="30"/>
      <c r="AW15" s="30"/>
      <c r="AX15" s="30"/>
      <c r="AY15" s="30"/>
      <c r="AZ15" s="30"/>
      <c r="BA15" s="30"/>
      <c r="BB15" s="30"/>
      <c r="BC15" s="30"/>
      <c r="BD15" s="30"/>
      <c r="BE15" s="30"/>
      <c r="BF15" s="30"/>
      <c r="BG15" s="30"/>
      <c r="BH15" s="30"/>
      <c r="BI15" s="30"/>
      <c r="BJ15" s="30"/>
      <c r="BK15" s="30"/>
      <c r="BL15" s="30"/>
      <c r="BM15" s="30"/>
      <c r="BN15" s="30"/>
      <c r="BO15" s="30"/>
      <c r="BP15" s="30"/>
      <c r="BQ15" s="30"/>
      <c r="BR15" s="30"/>
      <c r="BS15" s="30"/>
    </row>
    <row r="16" spans="1:71" s="3" customFormat="1" ht="30" customHeight="1" thickBot="1" x14ac:dyDescent="0.35">
      <c r="A16" s="34"/>
      <c r="B16" s="49" t="s">
        <v>28</v>
      </c>
      <c r="C16" s="41" t="s">
        <v>55</v>
      </c>
      <c r="D16" s="17">
        <v>1</v>
      </c>
      <c r="E16" s="68">
        <v>46078</v>
      </c>
      <c r="F16" s="68">
        <f>E16+1</f>
        <v>46079</v>
      </c>
      <c r="G16" s="14"/>
      <c r="H16" s="14">
        <f t="shared" si="10"/>
        <v>2</v>
      </c>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c r="AM16" s="30"/>
      <c r="AN16" s="30"/>
      <c r="AO16" s="30"/>
      <c r="AP16" s="30"/>
      <c r="AQ16" s="30"/>
      <c r="AR16" s="30"/>
      <c r="AS16" s="30"/>
      <c r="AT16" s="30"/>
      <c r="AU16" s="30"/>
      <c r="AV16" s="30"/>
      <c r="AW16" s="30"/>
      <c r="AX16" s="30"/>
      <c r="AY16" s="30"/>
      <c r="AZ16" s="30"/>
      <c r="BA16" s="30"/>
      <c r="BB16" s="30"/>
      <c r="BC16" s="30"/>
      <c r="BD16" s="30"/>
      <c r="BE16" s="30"/>
      <c r="BF16" s="30"/>
      <c r="BG16" s="30"/>
      <c r="BH16" s="30"/>
      <c r="BI16" s="30"/>
      <c r="BJ16" s="30"/>
      <c r="BK16" s="30"/>
      <c r="BL16" s="30"/>
      <c r="BM16" s="30"/>
      <c r="BN16" s="30"/>
      <c r="BO16" s="30"/>
      <c r="BP16" s="30"/>
      <c r="BQ16" s="30"/>
      <c r="BR16" s="30"/>
      <c r="BS16" s="30"/>
    </row>
    <row r="17" spans="1:71" s="3" customFormat="1" ht="30" customHeight="1" thickBot="1" x14ac:dyDescent="0.35">
      <c r="A17" s="35" t="s">
        <v>10</v>
      </c>
      <c r="B17" s="18" t="s">
        <v>29</v>
      </c>
      <c r="C17" s="42"/>
      <c r="D17" s="19"/>
      <c r="E17" s="59"/>
      <c r="F17" s="60"/>
      <c r="G17" s="14"/>
      <c r="H17" s="14" t="str">
        <f t="shared" si="10"/>
        <v/>
      </c>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c r="AM17" s="30"/>
      <c r="AN17" s="30"/>
      <c r="AO17" s="30"/>
      <c r="AP17" s="30"/>
      <c r="AQ17" s="30"/>
      <c r="AR17" s="30"/>
      <c r="AS17" s="30"/>
      <c r="AT17" s="30"/>
      <c r="AU17" s="30"/>
      <c r="AV17" s="30"/>
      <c r="AW17" s="30"/>
      <c r="AX17" s="30"/>
      <c r="AY17" s="30"/>
      <c r="AZ17" s="30"/>
      <c r="BA17" s="30"/>
      <c r="BB17" s="30"/>
      <c r="BC17" s="30"/>
      <c r="BD17" s="30"/>
      <c r="BE17" s="30"/>
      <c r="BF17" s="30"/>
      <c r="BG17" s="30"/>
      <c r="BH17" s="30"/>
      <c r="BI17" s="30"/>
      <c r="BJ17" s="30"/>
      <c r="BK17" s="30"/>
      <c r="BL17" s="30"/>
      <c r="BM17" s="30"/>
      <c r="BN17" s="30"/>
      <c r="BO17" s="30"/>
      <c r="BP17" s="30"/>
      <c r="BQ17" s="30"/>
      <c r="BR17" s="30"/>
      <c r="BS17" s="30"/>
    </row>
    <row r="18" spans="1:71" s="3" customFormat="1" ht="30" customHeight="1" thickBot="1" x14ac:dyDescent="0.35">
      <c r="A18" s="35"/>
      <c r="B18" s="50" t="s">
        <v>30</v>
      </c>
      <c r="C18" s="43" t="s">
        <v>57</v>
      </c>
      <c r="D18" s="17">
        <v>1</v>
      </c>
      <c r="E18" s="69">
        <v>46077</v>
      </c>
      <c r="F18" s="69">
        <f>E18+0</f>
        <v>46077</v>
      </c>
      <c r="G18" s="14"/>
      <c r="H18" s="14">
        <f t="shared" si="10"/>
        <v>1</v>
      </c>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c r="AQ18" s="30"/>
      <c r="AR18" s="30"/>
      <c r="AS18" s="30"/>
      <c r="AT18" s="30"/>
      <c r="AU18" s="30"/>
      <c r="AV18" s="30"/>
      <c r="AW18" s="30"/>
      <c r="AX18" s="30"/>
      <c r="AY18" s="30"/>
      <c r="AZ18" s="30"/>
      <c r="BA18" s="30"/>
      <c r="BB18" s="30"/>
      <c r="BC18" s="30"/>
      <c r="BD18" s="30"/>
      <c r="BE18" s="30"/>
      <c r="BF18" s="30"/>
      <c r="BG18" s="30"/>
      <c r="BH18" s="30"/>
      <c r="BI18" s="30"/>
      <c r="BJ18" s="30"/>
      <c r="BK18" s="30"/>
      <c r="BL18" s="30"/>
      <c r="BM18" s="30"/>
      <c r="BN18" s="30"/>
      <c r="BO18" s="30"/>
      <c r="BP18" s="30"/>
      <c r="BQ18" s="30"/>
      <c r="BR18" s="30"/>
      <c r="BS18" s="30"/>
    </row>
    <row r="19" spans="1:71" s="3" customFormat="1" ht="30" customHeight="1" thickBot="1" x14ac:dyDescent="0.35">
      <c r="A19" s="34"/>
      <c r="B19" s="50" t="s">
        <v>31</v>
      </c>
      <c r="C19" s="43" t="s">
        <v>58</v>
      </c>
      <c r="D19" s="17">
        <v>1</v>
      </c>
      <c r="E19" s="69">
        <v>46077</v>
      </c>
      <c r="F19" s="69">
        <f>E19+0</f>
        <v>46077</v>
      </c>
      <c r="G19" s="14"/>
      <c r="H19" s="14">
        <f t="shared" si="10"/>
        <v>1</v>
      </c>
      <c r="I19" s="30"/>
      <c r="J19" s="30"/>
      <c r="K19" s="30"/>
      <c r="L19" s="30"/>
      <c r="M19" s="30"/>
      <c r="N19" s="30"/>
      <c r="O19" s="30"/>
      <c r="P19" s="30"/>
      <c r="Q19" s="30"/>
      <c r="R19" s="30"/>
      <c r="S19" s="30"/>
      <c r="T19" s="30"/>
      <c r="U19" s="31"/>
      <c r="V19" s="31"/>
      <c r="W19" s="30"/>
      <c r="X19" s="30"/>
      <c r="Y19" s="30"/>
      <c r="Z19" s="30"/>
      <c r="AA19" s="30"/>
      <c r="AB19" s="30"/>
      <c r="AC19" s="30"/>
      <c r="AD19" s="30"/>
      <c r="AE19" s="30"/>
      <c r="AF19" s="30"/>
      <c r="AG19" s="30"/>
      <c r="AH19" s="30"/>
      <c r="AI19" s="30"/>
      <c r="AJ19" s="30"/>
      <c r="AK19" s="30"/>
      <c r="AL19" s="30"/>
      <c r="AM19" s="30"/>
      <c r="AN19" s="30"/>
      <c r="AO19" s="30"/>
      <c r="AP19" s="30"/>
      <c r="AQ19" s="30"/>
      <c r="AR19" s="30"/>
      <c r="AS19" s="30"/>
      <c r="AT19" s="30"/>
      <c r="AU19" s="30"/>
      <c r="AV19" s="30"/>
      <c r="AW19" s="30"/>
      <c r="AX19" s="30"/>
      <c r="AY19" s="30"/>
      <c r="AZ19" s="30"/>
      <c r="BA19" s="30"/>
      <c r="BB19" s="30"/>
      <c r="BC19" s="30"/>
      <c r="BD19" s="30"/>
      <c r="BE19" s="30"/>
      <c r="BF19" s="30"/>
      <c r="BG19" s="30"/>
      <c r="BH19" s="30"/>
      <c r="BI19" s="30"/>
      <c r="BJ19" s="30"/>
      <c r="BK19" s="30"/>
      <c r="BL19" s="30"/>
      <c r="BM19" s="30"/>
      <c r="BN19" s="30"/>
      <c r="BO19" s="30"/>
      <c r="BP19" s="30"/>
      <c r="BQ19" s="30"/>
      <c r="BR19" s="30"/>
      <c r="BS19" s="30"/>
    </row>
    <row r="20" spans="1:71" s="3" customFormat="1" ht="30" customHeight="1" thickBot="1" x14ac:dyDescent="0.35">
      <c r="A20" s="34"/>
      <c r="B20" s="50" t="s">
        <v>32</v>
      </c>
      <c r="C20" s="43" t="s">
        <v>55</v>
      </c>
      <c r="D20" s="17">
        <v>1</v>
      </c>
      <c r="E20" s="69">
        <v>46077</v>
      </c>
      <c r="F20" s="69">
        <f>E20+1</f>
        <v>46078</v>
      </c>
      <c r="G20" s="14"/>
      <c r="H20" s="14">
        <f t="shared" si="10"/>
        <v>2</v>
      </c>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V20" s="30"/>
      <c r="AW20" s="30"/>
      <c r="AX20" s="30"/>
      <c r="AY20" s="30"/>
      <c r="AZ20" s="30"/>
      <c r="BA20" s="30"/>
      <c r="BB20" s="30"/>
      <c r="BC20" s="30"/>
      <c r="BD20" s="30"/>
      <c r="BE20" s="30"/>
      <c r="BF20" s="30"/>
      <c r="BG20" s="30"/>
      <c r="BH20" s="30"/>
      <c r="BI20" s="30"/>
      <c r="BJ20" s="30"/>
      <c r="BK20" s="30"/>
      <c r="BL20" s="30"/>
      <c r="BM20" s="30"/>
      <c r="BN20" s="30"/>
      <c r="BO20" s="30"/>
      <c r="BP20" s="30"/>
      <c r="BQ20" s="30"/>
      <c r="BR20" s="30"/>
      <c r="BS20" s="30"/>
    </row>
    <row r="21" spans="1:71" s="3" customFormat="1" ht="30" customHeight="1" thickBot="1" x14ac:dyDescent="0.35">
      <c r="A21" s="34"/>
      <c r="B21" s="50" t="s">
        <v>33</v>
      </c>
      <c r="C21" s="43" t="s">
        <v>59</v>
      </c>
      <c r="D21" s="17">
        <v>1</v>
      </c>
      <c r="E21" s="69">
        <v>46078</v>
      </c>
      <c r="F21" s="69">
        <f>E21+1</f>
        <v>46079</v>
      </c>
      <c r="G21" s="14"/>
      <c r="H21" s="14">
        <f t="shared" si="10"/>
        <v>2</v>
      </c>
      <c r="I21" s="30"/>
      <c r="J21" s="30"/>
      <c r="K21" s="30"/>
      <c r="L21" s="30"/>
      <c r="M21" s="30"/>
      <c r="N21" s="30"/>
      <c r="O21" s="30"/>
      <c r="P21" s="30"/>
      <c r="Q21" s="30"/>
      <c r="R21" s="30"/>
      <c r="S21" s="30"/>
      <c r="T21" s="30"/>
      <c r="U21" s="30"/>
      <c r="V21" s="30"/>
      <c r="W21" s="30"/>
      <c r="X21" s="30"/>
      <c r="Y21" s="31"/>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c r="AY21" s="30"/>
      <c r="AZ21" s="30"/>
      <c r="BA21" s="30"/>
      <c r="BB21" s="30"/>
      <c r="BC21" s="30"/>
      <c r="BD21" s="30"/>
      <c r="BE21" s="30"/>
      <c r="BF21" s="30"/>
      <c r="BG21" s="30"/>
      <c r="BH21" s="30"/>
      <c r="BI21" s="30"/>
      <c r="BJ21" s="30"/>
      <c r="BK21" s="30"/>
      <c r="BL21" s="30"/>
      <c r="BM21" s="30"/>
      <c r="BN21" s="30"/>
      <c r="BO21" s="30"/>
      <c r="BP21" s="30"/>
      <c r="BQ21" s="30"/>
      <c r="BR21" s="30"/>
      <c r="BS21" s="30"/>
    </row>
    <row r="22" spans="1:71" s="3" customFormat="1" ht="30" customHeight="1" thickBot="1" x14ac:dyDescent="0.35">
      <c r="A22" s="34"/>
      <c r="B22" s="50" t="s">
        <v>34</v>
      </c>
      <c r="C22" s="43" t="s">
        <v>59</v>
      </c>
      <c r="D22" s="17">
        <v>1</v>
      </c>
      <c r="E22" s="69">
        <v>46078</v>
      </c>
      <c r="F22" s="69">
        <f>E22+1</f>
        <v>46079</v>
      </c>
      <c r="G22" s="14"/>
      <c r="H22" s="14">
        <f t="shared" si="10"/>
        <v>2</v>
      </c>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c r="AQ22" s="30"/>
      <c r="AR22" s="30"/>
      <c r="AS22" s="30"/>
      <c r="AT22" s="30"/>
      <c r="AU22" s="30"/>
      <c r="AV22" s="30"/>
      <c r="AW22" s="30"/>
      <c r="AX22" s="30"/>
      <c r="AY22" s="30"/>
      <c r="AZ22" s="30"/>
      <c r="BA22" s="30"/>
      <c r="BB22" s="30"/>
      <c r="BC22" s="30"/>
      <c r="BD22" s="30"/>
      <c r="BE22" s="30"/>
      <c r="BF22" s="30"/>
      <c r="BG22" s="30"/>
      <c r="BH22" s="30"/>
      <c r="BI22" s="30"/>
      <c r="BJ22" s="30"/>
      <c r="BK22" s="30"/>
      <c r="BL22" s="30"/>
      <c r="BM22" s="30"/>
      <c r="BN22" s="30"/>
      <c r="BO22" s="30"/>
      <c r="BP22" s="30"/>
      <c r="BQ22" s="30"/>
      <c r="BR22" s="30"/>
      <c r="BS22" s="30"/>
    </row>
    <row r="23" spans="1:71" s="3" customFormat="1" ht="30" customHeight="1" thickBot="1" x14ac:dyDescent="0.35">
      <c r="A23" s="34" t="s">
        <v>11</v>
      </c>
      <c r="B23" s="20" t="s">
        <v>35</v>
      </c>
      <c r="C23" s="44"/>
      <c r="D23" s="21"/>
      <c r="E23" s="61"/>
      <c r="F23" s="61"/>
      <c r="G23" s="14"/>
      <c r="H23" s="14" t="str">
        <f t="shared" si="10"/>
        <v/>
      </c>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0"/>
      <c r="BR23" s="30"/>
      <c r="BS23" s="30"/>
    </row>
    <row r="24" spans="1:71" s="3" customFormat="1" ht="30" customHeight="1" thickBot="1" x14ac:dyDescent="0.35">
      <c r="A24" s="34"/>
      <c r="B24" s="51" t="s">
        <v>36</v>
      </c>
      <c r="C24" s="45" t="s">
        <v>58</v>
      </c>
      <c r="D24" s="22">
        <v>0</v>
      </c>
      <c r="E24" s="62">
        <f>F24-3</f>
        <v>46135</v>
      </c>
      <c r="F24" s="62">
        <v>46138</v>
      </c>
      <c r="G24" s="14"/>
      <c r="H24" s="14">
        <f t="shared" si="10"/>
        <v>4</v>
      </c>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c r="BL24" s="30"/>
      <c r="BM24" s="30"/>
      <c r="BN24" s="30"/>
      <c r="BO24" s="30"/>
      <c r="BP24" s="30"/>
      <c r="BQ24" s="30"/>
      <c r="BR24" s="30"/>
      <c r="BS24" s="30"/>
    </row>
    <row r="25" spans="1:71" s="3" customFormat="1" ht="30" customHeight="1" thickBot="1" x14ac:dyDescent="0.35">
      <c r="A25" s="34"/>
      <c r="B25" s="51" t="s">
        <v>37</v>
      </c>
      <c r="C25" s="45" t="s">
        <v>58</v>
      </c>
      <c r="D25" s="22">
        <v>0</v>
      </c>
      <c r="E25" s="62">
        <f t="shared" ref="E25:E29" si="11">F25-3</f>
        <v>46135</v>
      </c>
      <c r="F25" s="62">
        <v>46138</v>
      </c>
      <c r="G25" s="14"/>
      <c r="H25" s="14"/>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30"/>
      <c r="BK25" s="30"/>
      <c r="BL25" s="30"/>
      <c r="BM25" s="30"/>
      <c r="BN25" s="30"/>
      <c r="BO25" s="30"/>
      <c r="BP25" s="30"/>
      <c r="BQ25" s="30"/>
      <c r="BR25" s="30"/>
      <c r="BS25" s="30"/>
    </row>
    <row r="26" spans="1:71" s="3" customFormat="1" ht="30" customHeight="1" thickBot="1" x14ac:dyDescent="0.35">
      <c r="A26" s="34"/>
      <c r="B26" s="51" t="s">
        <v>38</v>
      </c>
      <c r="C26" s="45" t="s">
        <v>59</v>
      </c>
      <c r="D26" s="22">
        <v>0</v>
      </c>
      <c r="E26" s="62">
        <f>F26-4</f>
        <v>46134</v>
      </c>
      <c r="F26" s="62">
        <v>46138</v>
      </c>
      <c r="G26" s="14"/>
      <c r="H26" s="14">
        <f t="shared" si="10"/>
        <v>5</v>
      </c>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c r="BK26" s="30"/>
      <c r="BL26" s="30"/>
      <c r="BM26" s="30"/>
      <c r="BN26" s="30"/>
      <c r="BO26" s="30"/>
      <c r="BP26" s="30"/>
      <c r="BQ26" s="30"/>
      <c r="BR26" s="30"/>
      <c r="BS26" s="30"/>
    </row>
    <row r="27" spans="1:71" s="3" customFormat="1" ht="30" customHeight="1" thickBot="1" x14ac:dyDescent="0.35">
      <c r="A27" s="34"/>
      <c r="B27" s="51" t="s">
        <v>39</v>
      </c>
      <c r="C27" s="45" t="s">
        <v>55</v>
      </c>
      <c r="D27" s="22">
        <v>0</v>
      </c>
      <c r="E27" s="62">
        <f t="shared" si="11"/>
        <v>46136</v>
      </c>
      <c r="F27" s="62">
        <v>46139</v>
      </c>
      <c r="G27" s="14"/>
      <c r="H27" s="14">
        <f t="shared" si="10"/>
        <v>4</v>
      </c>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c r="AQ27" s="30"/>
      <c r="AR27" s="30"/>
      <c r="AS27" s="30"/>
      <c r="AT27" s="30"/>
      <c r="AU27" s="30"/>
      <c r="AV27" s="30"/>
      <c r="AW27" s="30"/>
      <c r="AX27" s="30"/>
      <c r="AY27" s="30"/>
      <c r="AZ27" s="30"/>
      <c r="BA27" s="30"/>
      <c r="BB27" s="30"/>
      <c r="BC27" s="30"/>
      <c r="BD27" s="30"/>
      <c r="BE27" s="30"/>
      <c r="BF27" s="30"/>
      <c r="BG27" s="30"/>
      <c r="BH27" s="30"/>
      <c r="BI27" s="30"/>
      <c r="BJ27" s="30"/>
      <c r="BK27" s="30"/>
      <c r="BL27" s="30"/>
      <c r="BM27" s="30"/>
      <c r="BN27" s="30"/>
      <c r="BO27" s="30"/>
      <c r="BP27" s="30"/>
      <c r="BQ27" s="30"/>
      <c r="BR27" s="30"/>
      <c r="BS27" s="30"/>
    </row>
    <row r="28" spans="1:71" s="3" customFormat="1" ht="30" customHeight="1" thickBot="1" x14ac:dyDescent="0.35">
      <c r="A28" s="34"/>
      <c r="B28" s="51" t="s">
        <v>40</v>
      </c>
      <c r="C28" s="45" t="s">
        <v>66</v>
      </c>
      <c r="D28" s="22">
        <v>0</v>
      </c>
      <c r="E28" s="62">
        <f t="shared" si="11"/>
        <v>46136</v>
      </c>
      <c r="F28" s="62">
        <v>46139</v>
      </c>
      <c r="G28" s="14"/>
      <c r="H28" s="14">
        <f t="shared" si="10"/>
        <v>4</v>
      </c>
      <c r="I28" s="30"/>
      <c r="J28" s="30"/>
      <c r="K28" s="30"/>
      <c r="L28" s="30"/>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c r="AM28" s="30"/>
      <c r="AN28" s="30"/>
      <c r="AO28" s="30"/>
      <c r="AP28" s="30"/>
      <c r="AQ28" s="30"/>
      <c r="AR28" s="30"/>
      <c r="AS28" s="30"/>
      <c r="AT28" s="30"/>
      <c r="AU28" s="30"/>
      <c r="AV28" s="30"/>
      <c r="AW28" s="30"/>
      <c r="AX28" s="30"/>
      <c r="AY28" s="30"/>
      <c r="AZ28" s="30"/>
      <c r="BA28" s="30"/>
      <c r="BB28" s="30"/>
      <c r="BC28" s="30"/>
      <c r="BD28" s="30"/>
      <c r="BE28" s="30"/>
      <c r="BF28" s="30"/>
      <c r="BG28" s="30"/>
      <c r="BH28" s="30"/>
      <c r="BI28" s="30"/>
      <c r="BJ28" s="30"/>
      <c r="BK28" s="30"/>
      <c r="BL28" s="30"/>
      <c r="BM28" s="30"/>
      <c r="BN28" s="30"/>
      <c r="BO28" s="30"/>
      <c r="BP28" s="30"/>
      <c r="BQ28" s="30"/>
      <c r="BR28" s="30"/>
      <c r="BS28" s="30"/>
    </row>
    <row r="29" spans="1:71" s="3" customFormat="1" ht="30" customHeight="1" thickBot="1" x14ac:dyDescent="0.35">
      <c r="A29" s="34"/>
      <c r="B29" s="51" t="s">
        <v>41</v>
      </c>
      <c r="C29" s="45" t="s">
        <v>56</v>
      </c>
      <c r="D29" s="22">
        <v>0</v>
      </c>
      <c r="E29" s="62">
        <f t="shared" si="11"/>
        <v>46136</v>
      </c>
      <c r="F29" s="62">
        <v>46139</v>
      </c>
      <c r="G29" s="14"/>
      <c r="H29" s="14">
        <f t="shared" si="10"/>
        <v>4</v>
      </c>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c r="AM29" s="30"/>
      <c r="AN29" s="30"/>
      <c r="AO29" s="30"/>
      <c r="AP29" s="30"/>
      <c r="AQ29" s="30"/>
      <c r="AR29" s="30"/>
      <c r="AS29" s="30"/>
      <c r="AT29" s="30"/>
      <c r="AU29" s="30"/>
      <c r="AV29" s="30"/>
      <c r="AW29" s="30"/>
      <c r="AX29" s="30"/>
      <c r="AY29" s="30"/>
      <c r="AZ29" s="30"/>
      <c r="BA29" s="30"/>
      <c r="BB29" s="30"/>
      <c r="BC29" s="30"/>
      <c r="BD29" s="30"/>
      <c r="BE29" s="30"/>
      <c r="BF29" s="30"/>
      <c r="BG29" s="30"/>
      <c r="BH29" s="30"/>
      <c r="BI29" s="30"/>
      <c r="BJ29" s="30"/>
      <c r="BK29" s="30"/>
      <c r="BL29" s="30"/>
      <c r="BM29" s="30"/>
      <c r="BN29" s="30"/>
      <c r="BO29" s="30"/>
      <c r="BP29" s="30"/>
      <c r="BQ29" s="30"/>
      <c r="BR29" s="30"/>
      <c r="BS29" s="30"/>
    </row>
    <row r="30" spans="1:71" s="3" customFormat="1" ht="30" customHeight="1" thickBot="1" x14ac:dyDescent="0.35">
      <c r="A30" s="34" t="s">
        <v>11</v>
      </c>
      <c r="B30" s="23" t="s">
        <v>42</v>
      </c>
      <c r="C30" s="46"/>
      <c r="D30" s="24"/>
      <c r="E30" s="63"/>
      <c r="F30" s="63"/>
      <c r="G30" s="14"/>
      <c r="H30" s="14" t="str">
        <f t="shared" si="10"/>
        <v/>
      </c>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c r="AR30" s="30"/>
      <c r="AS30" s="30"/>
      <c r="AT30" s="30"/>
      <c r="AU30" s="30"/>
      <c r="AV30" s="30"/>
      <c r="AW30" s="30"/>
      <c r="AX30" s="30"/>
      <c r="AY30" s="30"/>
      <c r="AZ30" s="30"/>
      <c r="BA30" s="30"/>
      <c r="BB30" s="30"/>
      <c r="BC30" s="30"/>
      <c r="BD30" s="30"/>
      <c r="BE30" s="30"/>
      <c r="BF30" s="30"/>
      <c r="BG30" s="30"/>
      <c r="BH30" s="30"/>
      <c r="BI30" s="30"/>
      <c r="BJ30" s="30"/>
      <c r="BK30" s="30"/>
      <c r="BL30" s="30"/>
      <c r="BM30" s="30"/>
      <c r="BN30" s="30"/>
      <c r="BO30" s="30"/>
      <c r="BP30" s="30"/>
      <c r="BQ30" s="30"/>
      <c r="BR30" s="30"/>
      <c r="BS30" s="30"/>
    </row>
    <row r="31" spans="1:71" s="3" customFormat="1" ht="30" customHeight="1" thickBot="1" x14ac:dyDescent="0.35">
      <c r="A31" s="34"/>
      <c r="B31" s="52" t="s">
        <v>67</v>
      </c>
      <c r="C31" s="47" t="s">
        <v>66</v>
      </c>
      <c r="D31" s="25">
        <v>0</v>
      </c>
      <c r="E31" s="70">
        <f>F31-2</f>
        <v>46136</v>
      </c>
      <c r="F31" s="70">
        <v>46138</v>
      </c>
      <c r="G31" s="14"/>
      <c r="H31" s="14">
        <f t="shared" si="10"/>
        <v>3</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row>
    <row r="32" spans="1:71" s="3" customFormat="1" ht="30" customHeight="1" thickBot="1" x14ac:dyDescent="0.35">
      <c r="A32" s="34"/>
      <c r="B32" s="52" t="s">
        <v>68</v>
      </c>
      <c r="C32" s="47" t="s">
        <v>55</v>
      </c>
      <c r="D32" s="25">
        <v>0</v>
      </c>
      <c r="E32" s="70">
        <f t="shared" ref="E32:E35" si="12">F32-2</f>
        <v>46136</v>
      </c>
      <c r="F32" s="70">
        <v>46138</v>
      </c>
      <c r="G32" s="14"/>
      <c r="H32" s="14">
        <f t="shared" si="10"/>
        <v>3</v>
      </c>
      <c r="I32" s="30"/>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0"/>
      <c r="AY32" s="30"/>
      <c r="AZ32" s="30"/>
      <c r="BA32" s="30"/>
      <c r="BB32" s="30"/>
      <c r="BC32" s="30"/>
      <c r="BD32" s="30"/>
      <c r="BE32" s="30"/>
      <c r="BF32" s="30"/>
      <c r="BG32" s="30"/>
      <c r="BH32" s="30"/>
      <c r="BI32" s="30"/>
      <c r="BJ32" s="30"/>
      <c r="BK32" s="30"/>
      <c r="BL32" s="30"/>
      <c r="BM32" s="30"/>
      <c r="BN32" s="30"/>
      <c r="BO32" s="30"/>
      <c r="BP32" s="30"/>
      <c r="BQ32" s="30"/>
      <c r="BR32" s="30"/>
      <c r="BS32" s="30"/>
    </row>
    <row r="33" spans="1:71" s="3" customFormat="1" ht="30" customHeight="1" thickBot="1" x14ac:dyDescent="0.35">
      <c r="A33" s="34"/>
      <c r="B33" s="52" t="s">
        <v>43</v>
      </c>
      <c r="C33" s="47" t="s">
        <v>59</v>
      </c>
      <c r="D33" s="25">
        <v>0</v>
      </c>
      <c r="E33" s="70">
        <f>F33-3</f>
        <v>46135</v>
      </c>
      <c r="F33" s="70">
        <v>46138</v>
      </c>
      <c r="G33" s="14"/>
      <c r="H33" s="14">
        <f t="shared" si="10"/>
        <v>4</v>
      </c>
      <c r="I33" s="30"/>
      <c r="J33" s="30"/>
      <c r="K33" s="30"/>
      <c r="L33" s="30"/>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c r="AQ33" s="30"/>
      <c r="AR33" s="30"/>
      <c r="AS33" s="30"/>
      <c r="AT33" s="30"/>
      <c r="AU33" s="30"/>
      <c r="AV33" s="30"/>
      <c r="AW33" s="30"/>
      <c r="AX33" s="30"/>
      <c r="AY33" s="30"/>
      <c r="AZ33" s="30"/>
      <c r="BA33" s="30"/>
      <c r="BB33" s="30"/>
      <c r="BC33" s="30"/>
      <c r="BD33" s="30"/>
      <c r="BE33" s="30"/>
      <c r="BF33" s="30"/>
      <c r="BG33" s="30"/>
      <c r="BH33" s="30"/>
      <c r="BI33" s="30"/>
      <c r="BJ33" s="30"/>
      <c r="BK33" s="30"/>
      <c r="BL33" s="30"/>
      <c r="BM33" s="30"/>
      <c r="BN33" s="30"/>
      <c r="BO33" s="30"/>
      <c r="BP33" s="30"/>
      <c r="BQ33" s="30"/>
      <c r="BR33" s="30"/>
      <c r="BS33" s="30"/>
    </row>
    <row r="34" spans="1:71" s="3" customFormat="1" ht="30" customHeight="1" thickBot="1" x14ac:dyDescent="0.35">
      <c r="A34" s="34"/>
      <c r="B34" s="52" t="s">
        <v>44</v>
      </c>
      <c r="C34" s="47" t="s">
        <v>58</v>
      </c>
      <c r="D34" s="25">
        <v>0</v>
      </c>
      <c r="E34" s="70">
        <f t="shared" si="12"/>
        <v>46137</v>
      </c>
      <c r="F34" s="70">
        <v>46139</v>
      </c>
      <c r="G34" s="14"/>
      <c r="H34" s="14">
        <f t="shared" si="10"/>
        <v>3</v>
      </c>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c r="AM34" s="30"/>
      <c r="AN34" s="30"/>
      <c r="AO34" s="30"/>
      <c r="AP34" s="30"/>
      <c r="AQ34" s="30"/>
      <c r="AR34" s="30"/>
      <c r="AS34" s="30"/>
      <c r="AT34" s="30"/>
      <c r="AU34" s="30"/>
      <c r="AV34" s="30"/>
      <c r="AW34" s="30"/>
      <c r="AX34" s="30"/>
      <c r="AY34" s="30"/>
      <c r="AZ34" s="30"/>
      <c r="BA34" s="30"/>
      <c r="BB34" s="30"/>
      <c r="BC34" s="30"/>
      <c r="BD34" s="30"/>
      <c r="BE34" s="30"/>
      <c r="BF34" s="30"/>
      <c r="BG34" s="30"/>
      <c r="BH34" s="30"/>
      <c r="BI34" s="30"/>
      <c r="BJ34" s="30"/>
      <c r="BK34" s="30"/>
      <c r="BL34" s="30"/>
      <c r="BM34" s="30"/>
      <c r="BN34" s="30"/>
      <c r="BO34" s="30"/>
      <c r="BP34" s="30"/>
      <c r="BQ34" s="30"/>
      <c r="BR34" s="30"/>
      <c r="BS34" s="30"/>
    </row>
    <row r="35" spans="1:71" s="3" customFormat="1" ht="30" customHeight="1" thickBot="1" x14ac:dyDescent="0.35">
      <c r="A35" s="34"/>
      <c r="B35" s="52" t="s">
        <v>45</v>
      </c>
      <c r="C35" s="47" t="s">
        <v>56</v>
      </c>
      <c r="D35" s="25">
        <v>0</v>
      </c>
      <c r="E35" s="70">
        <f t="shared" si="12"/>
        <v>46137</v>
      </c>
      <c r="F35" s="70">
        <v>46139</v>
      </c>
      <c r="G35" s="14"/>
      <c r="H35" s="14">
        <f t="shared" si="10"/>
        <v>3</v>
      </c>
      <c r="I35" s="30"/>
      <c r="J35" s="30"/>
      <c r="K35" s="30"/>
      <c r="L35" s="30"/>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c r="AQ35" s="30"/>
      <c r="AR35" s="30"/>
      <c r="AS35" s="30"/>
      <c r="AT35" s="30"/>
      <c r="AU35" s="30"/>
      <c r="AV35" s="30"/>
      <c r="AW35" s="30"/>
      <c r="AX35" s="30"/>
      <c r="AY35" s="30"/>
      <c r="AZ35" s="30"/>
      <c r="BA35" s="30"/>
      <c r="BB35" s="30"/>
      <c r="BC35" s="30"/>
      <c r="BD35" s="30"/>
      <c r="BE35" s="30"/>
      <c r="BF35" s="30"/>
      <c r="BG35" s="30"/>
      <c r="BH35" s="30"/>
      <c r="BI35" s="30"/>
      <c r="BJ35" s="30"/>
      <c r="BK35" s="30"/>
      <c r="BL35" s="30"/>
      <c r="BM35" s="30"/>
      <c r="BN35" s="30"/>
      <c r="BO35" s="30"/>
      <c r="BP35" s="30"/>
      <c r="BQ35" s="30"/>
      <c r="BR35" s="30"/>
      <c r="BS35" s="30"/>
    </row>
    <row r="36" spans="1:71" s="3" customFormat="1" ht="30" customHeight="1" thickBot="1" x14ac:dyDescent="0.35">
      <c r="A36" s="34"/>
      <c r="B36" s="74" t="s">
        <v>46</v>
      </c>
      <c r="C36" s="75"/>
      <c r="D36" s="76"/>
      <c r="E36" s="77"/>
      <c r="F36" s="77"/>
      <c r="G36" s="14"/>
      <c r="H36" s="14" t="str">
        <f t="shared" si="10"/>
        <v/>
      </c>
      <c r="I36" s="30"/>
      <c r="J36" s="30"/>
      <c r="K36" s="30"/>
      <c r="L36" s="30"/>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c r="AM36" s="30"/>
      <c r="AN36" s="30"/>
      <c r="AO36" s="30"/>
      <c r="AP36" s="30"/>
      <c r="AQ36" s="30"/>
      <c r="AR36" s="30"/>
      <c r="AS36" s="30"/>
      <c r="AT36" s="30"/>
      <c r="AU36" s="30"/>
      <c r="AV36" s="30"/>
      <c r="AW36" s="30"/>
      <c r="AX36" s="30"/>
      <c r="AY36" s="30"/>
      <c r="AZ36" s="30"/>
      <c r="BA36" s="30"/>
      <c r="BB36" s="30"/>
      <c r="BC36" s="30"/>
      <c r="BD36" s="30"/>
      <c r="BE36" s="30"/>
      <c r="BF36" s="30"/>
      <c r="BG36" s="30"/>
      <c r="BH36" s="30"/>
      <c r="BI36" s="30"/>
      <c r="BJ36" s="30"/>
      <c r="BK36" s="30"/>
      <c r="BL36" s="30"/>
      <c r="BM36" s="30"/>
      <c r="BN36" s="30"/>
      <c r="BO36" s="30"/>
      <c r="BP36" s="30"/>
      <c r="BQ36" s="30"/>
      <c r="BR36" s="30"/>
      <c r="BS36" s="30"/>
    </row>
    <row r="37" spans="1:71" s="3" customFormat="1" ht="30" customHeight="1" thickBot="1" x14ac:dyDescent="0.35">
      <c r="A37" s="34"/>
      <c r="B37" s="78" t="s">
        <v>47</v>
      </c>
      <c r="C37" s="79" t="s">
        <v>59</v>
      </c>
      <c r="D37" s="80">
        <v>0</v>
      </c>
      <c r="E37" s="81">
        <f>F37-2</f>
        <v>46157</v>
      </c>
      <c r="F37" s="81">
        <v>46159</v>
      </c>
      <c r="G37" s="14"/>
      <c r="H37" s="14"/>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0"/>
      <c r="AX37" s="30"/>
      <c r="AY37" s="30"/>
      <c r="AZ37" s="30"/>
      <c r="BA37" s="30"/>
      <c r="BB37" s="30"/>
      <c r="BC37" s="30"/>
      <c r="BD37" s="30"/>
      <c r="BE37" s="30"/>
      <c r="BF37" s="30"/>
      <c r="BG37" s="30"/>
      <c r="BH37" s="30"/>
      <c r="BI37" s="30"/>
      <c r="BJ37" s="30"/>
      <c r="BK37" s="30"/>
      <c r="BL37" s="30"/>
      <c r="BM37" s="30"/>
      <c r="BN37" s="30"/>
      <c r="BO37" s="30"/>
      <c r="BP37" s="30"/>
      <c r="BQ37" s="30"/>
      <c r="BR37" s="30"/>
      <c r="BS37" s="30"/>
    </row>
    <row r="38" spans="1:71" s="3" customFormat="1" ht="30" customHeight="1" thickBot="1" x14ac:dyDescent="0.35">
      <c r="A38" s="34"/>
      <c r="B38" s="78" t="s">
        <v>48</v>
      </c>
      <c r="C38" s="79" t="s">
        <v>59</v>
      </c>
      <c r="D38" s="80">
        <v>0</v>
      </c>
      <c r="E38" s="81">
        <f t="shared" ref="E38:E41" si="13">F38-2</f>
        <v>46157</v>
      </c>
      <c r="F38" s="81">
        <v>46159</v>
      </c>
      <c r="G38" s="14"/>
      <c r="H38" s="14"/>
      <c r="I38" s="30"/>
      <c r="J38" s="30"/>
      <c r="K38" s="30"/>
      <c r="L38" s="30"/>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c r="AW38" s="30"/>
      <c r="AX38" s="30"/>
      <c r="AY38" s="30"/>
      <c r="AZ38" s="30"/>
      <c r="BA38" s="30"/>
      <c r="BB38" s="30"/>
      <c r="BC38" s="30"/>
      <c r="BD38" s="30"/>
      <c r="BE38" s="30"/>
      <c r="BF38" s="30"/>
      <c r="BG38" s="30"/>
      <c r="BH38" s="30"/>
      <c r="BI38" s="30"/>
      <c r="BJ38" s="30"/>
      <c r="BK38" s="30"/>
      <c r="BL38" s="30"/>
      <c r="BM38" s="30"/>
      <c r="BN38" s="30"/>
      <c r="BO38" s="30"/>
      <c r="BP38" s="30"/>
      <c r="BQ38" s="30"/>
      <c r="BR38" s="30"/>
      <c r="BS38" s="30"/>
    </row>
    <row r="39" spans="1:71" s="3" customFormat="1" ht="30" customHeight="1" thickBot="1" x14ac:dyDescent="0.35">
      <c r="A39" s="34"/>
      <c r="B39" s="78" t="s">
        <v>49</v>
      </c>
      <c r="C39" s="79" t="s">
        <v>59</v>
      </c>
      <c r="D39" s="80">
        <v>0</v>
      </c>
      <c r="E39" s="81">
        <f t="shared" si="13"/>
        <v>46157</v>
      </c>
      <c r="F39" s="81">
        <v>46159</v>
      </c>
      <c r="G39" s="14"/>
      <c r="H39" s="14"/>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0"/>
      <c r="BR39" s="30"/>
      <c r="BS39" s="30"/>
    </row>
    <row r="40" spans="1:71" s="3" customFormat="1" ht="30" customHeight="1" thickBot="1" x14ac:dyDescent="0.35">
      <c r="A40" s="34"/>
      <c r="B40" s="78" t="s">
        <v>50</v>
      </c>
      <c r="C40" s="79" t="s">
        <v>59</v>
      </c>
      <c r="D40" s="80">
        <v>0</v>
      </c>
      <c r="E40" s="81">
        <f t="shared" si="13"/>
        <v>46158</v>
      </c>
      <c r="F40" s="81">
        <v>46160</v>
      </c>
      <c r="G40" s="14"/>
      <c r="H40" s="14"/>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c r="AW40" s="30"/>
      <c r="AX40" s="30"/>
      <c r="AY40" s="30"/>
      <c r="AZ40" s="30"/>
      <c r="BA40" s="30"/>
      <c r="BB40" s="30"/>
      <c r="BC40" s="30"/>
      <c r="BD40" s="30"/>
      <c r="BE40" s="30"/>
      <c r="BF40" s="30"/>
      <c r="BG40" s="30"/>
      <c r="BH40" s="30"/>
      <c r="BI40" s="30"/>
      <c r="BJ40" s="30"/>
      <c r="BK40" s="30"/>
      <c r="BL40" s="30"/>
      <c r="BM40" s="30"/>
      <c r="BN40" s="30"/>
      <c r="BO40" s="30"/>
      <c r="BP40" s="30"/>
      <c r="BQ40" s="30"/>
      <c r="BR40" s="30"/>
      <c r="BS40" s="30"/>
    </row>
    <row r="41" spans="1:71" s="3" customFormat="1" ht="30" customHeight="1" thickBot="1" x14ac:dyDescent="0.35">
      <c r="A41" s="34"/>
      <c r="B41" s="78" t="s">
        <v>51</v>
      </c>
      <c r="C41" s="79" t="s">
        <v>59</v>
      </c>
      <c r="D41" s="80">
        <v>0</v>
      </c>
      <c r="E41" s="81">
        <f t="shared" si="13"/>
        <v>46158</v>
      </c>
      <c r="F41" s="81">
        <v>46160</v>
      </c>
      <c r="G41" s="14"/>
      <c r="H41" s="14"/>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c r="AW41" s="30"/>
      <c r="AX41" s="30"/>
      <c r="AY41" s="30"/>
      <c r="AZ41" s="30"/>
      <c r="BA41" s="30"/>
      <c r="BB41" s="30"/>
      <c r="BC41" s="30"/>
      <c r="BD41" s="30"/>
      <c r="BE41" s="30"/>
      <c r="BF41" s="30"/>
      <c r="BG41" s="30"/>
      <c r="BH41" s="30"/>
      <c r="BI41" s="30"/>
      <c r="BJ41" s="30"/>
      <c r="BK41" s="30"/>
      <c r="BL41" s="30"/>
      <c r="BM41" s="30"/>
      <c r="BN41" s="30"/>
      <c r="BO41" s="30"/>
      <c r="BP41" s="30"/>
      <c r="BQ41" s="30"/>
      <c r="BR41" s="30"/>
      <c r="BS41" s="30"/>
    </row>
    <row r="42" spans="1:71" s="3" customFormat="1" ht="30" customHeight="1" thickBot="1" x14ac:dyDescent="0.35">
      <c r="A42" s="34"/>
      <c r="B42" s="82" t="s">
        <v>52</v>
      </c>
      <c r="C42" s="83"/>
      <c r="D42" s="84"/>
      <c r="E42" s="85"/>
      <c r="F42" s="85"/>
      <c r="G42" s="14"/>
      <c r="H42" s="14" t="str">
        <f t="shared" si="10"/>
        <v/>
      </c>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0"/>
      <c r="BR42" s="30"/>
      <c r="BS42" s="30"/>
    </row>
    <row r="43" spans="1:71" s="3" customFormat="1" ht="30" customHeight="1" thickBot="1" x14ac:dyDescent="0.35">
      <c r="A43" s="34"/>
      <c r="B43" s="86" t="s">
        <v>69</v>
      </c>
      <c r="C43" s="87" t="s">
        <v>66</v>
      </c>
      <c r="D43" s="88">
        <v>0</v>
      </c>
      <c r="E43" s="89">
        <f>F43-2</f>
        <v>46157</v>
      </c>
      <c r="F43" s="89">
        <v>46159</v>
      </c>
      <c r="G43" s="14"/>
      <c r="H43" s="14"/>
      <c r="I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c r="AQ43" s="30"/>
      <c r="AR43" s="30"/>
      <c r="AS43" s="30"/>
      <c r="AT43" s="30"/>
      <c r="AU43" s="30"/>
      <c r="AV43" s="30"/>
      <c r="AW43" s="30"/>
      <c r="AX43" s="30"/>
      <c r="AY43" s="30"/>
      <c r="AZ43" s="30"/>
      <c r="BA43" s="30"/>
      <c r="BB43" s="30"/>
      <c r="BC43" s="30"/>
      <c r="BD43" s="30"/>
      <c r="BE43" s="30"/>
      <c r="BF43" s="30"/>
      <c r="BG43" s="30"/>
      <c r="BH43" s="30"/>
      <c r="BI43" s="30"/>
      <c r="BJ43" s="30"/>
      <c r="BK43" s="30"/>
      <c r="BL43" s="30"/>
      <c r="BM43" s="30"/>
      <c r="BN43" s="30"/>
      <c r="BO43" s="30"/>
      <c r="BP43" s="30"/>
      <c r="BQ43" s="30"/>
      <c r="BR43" s="30"/>
      <c r="BS43" s="30"/>
    </row>
    <row r="44" spans="1:71" s="3" customFormat="1" ht="30" customHeight="1" thickBot="1" x14ac:dyDescent="0.35">
      <c r="A44" s="34"/>
      <c r="B44" s="86" t="s">
        <v>70</v>
      </c>
      <c r="C44" s="87" t="s">
        <v>55</v>
      </c>
      <c r="D44" s="88">
        <v>0</v>
      </c>
      <c r="E44" s="89">
        <f t="shared" ref="E44:E46" si="14">F44-2</f>
        <v>46157</v>
      </c>
      <c r="F44" s="89">
        <v>46159</v>
      </c>
      <c r="G44" s="14"/>
      <c r="H44" s="14"/>
      <c r="I44" s="30"/>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c r="AM44" s="30"/>
      <c r="AN44" s="30"/>
      <c r="AO44" s="30"/>
      <c r="AP44" s="30"/>
      <c r="AQ44" s="30"/>
      <c r="AR44" s="30"/>
      <c r="AS44" s="30"/>
      <c r="AT44" s="30"/>
      <c r="AU44" s="30"/>
      <c r="AV44" s="30"/>
      <c r="AW44" s="30"/>
      <c r="AX44" s="30"/>
      <c r="AY44" s="30"/>
      <c r="AZ44" s="30"/>
      <c r="BA44" s="30"/>
      <c r="BB44" s="30"/>
      <c r="BC44" s="30"/>
      <c r="BD44" s="30"/>
      <c r="BE44" s="30"/>
      <c r="BF44" s="30"/>
      <c r="BG44" s="30"/>
      <c r="BH44" s="30"/>
      <c r="BI44" s="30"/>
      <c r="BJ44" s="30"/>
      <c r="BK44" s="30"/>
      <c r="BL44" s="30"/>
      <c r="BM44" s="30"/>
      <c r="BN44" s="30"/>
      <c r="BO44" s="30"/>
      <c r="BP44" s="30"/>
      <c r="BQ44" s="30"/>
      <c r="BR44" s="30"/>
      <c r="BS44" s="30"/>
    </row>
    <row r="45" spans="1:71" s="3" customFormat="1" ht="30" customHeight="1" thickBot="1" x14ac:dyDescent="0.35">
      <c r="A45" s="34"/>
      <c r="B45" s="86" t="s">
        <v>71</v>
      </c>
      <c r="C45" s="87" t="s">
        <v>74</v>
      </c>
      <c r="D45" s="88">
        <v>0</v>
      </c>
      <c r="E45" s="89">
        <f t="shared" si="14"/>
        <v>46157</v>
      </c>
      <c r="F45" s="89">
        <v>46159</v>
      </c>
      <c r="G45" s="14"/>
      <c r="H45" s="14"/>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c r="AM45" s="30"/>
      <c r="AN45" s="30"/>
      <c r="AO45" s="30"/>
      <c r="AP45" s="30"/>
      <c r="AQ45" s="30"/>
      <c r="AR45" s="30"/>
      <c r="AS45" s="30"/>
      <c r="AT45" s="30"/>
      <c r="AU45" s="30"/>
      <c r="AV45" s="30"/>
      <c r="AW45" s="30"/>
      <c r="AX45" s="30"/>
      <c r="AY45" s="30"/>
      <c r="AZ45" s="30"/>
      <c r="BA45" s="30"/>
      <c r="BB45" s="30"/>
      <c r="BC45" s="30"/>
      <c r="BD45" s="30"/>
      <c r="BE45" s="30"/>
      <c r="BF45" s="30"/>
      <c r="BG45" s="30"/>
      <c r="BH45" s="30"/>
      <c r="BI45" s="30"/>
      <c r="BJ45" s="30"/>
      <c r="BK45" s="30"/>
      <c r="BL45" s="30"/>
      <c r="BM45" s="30"/>
      <c r="BN45" s="30"/>
      <c r="BO45" s="30"/>
      <c r="BP45" s="30"/>
      <c r="BQ45" s="30"/>
      <c r="BR45" s="30"/>
      <c r="BS45" s="30"/>
    </row>
    <row r="46" spans="1:71" s="3" customFormat="1" ht="30" customHeight="1" thickBot="1" x14ac:dyDescent="0.35">
      <c r="A46" s="34"/>
      <c r="B46" s="86" t="s">
        <v>72</v>
      </c>
      <c r="C46" s="87" t="s">
        <v>56</v>
      </c>
      <c r="D46" s="88">
        <v>0</v>
      </c>
      <c r="E46" s="89">
        <f t="shared" si="14"/>
        <v>46158</v>
      </c>
      <c r="F46" s="89">
        <v>46160</v>
      </c>
      <c r="G46" s="14"/>
      <c r="H46" s="14"/>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c r="AM46" s="30"/>
      <c r="AN46" s="30"/>
      <c r="AO46" s="30"/>
      <c r="AP46" s="30"/>
      <c r="AQ46" s="30"/>
      <c r="AR46" s="30"/>
      <c r="AS46" s="30"/>
      <c r="AT46" s="30"/>
      <c r="AU46" s="30"/>
      <c r="AV46" s="30"/>
      <c r="AW46" s="30"/>
      <c r="AX46" s="30"/>
      <c r="AY46" s="30"/>
      <c r="AZ46" s="30"/>
      <c r="BA46" s="30"/>
      <c r="BB46" s="30"/>
      <c r="BC46" s="30"/>
      <c r="BD46" s="30"/>
      <c r="BE46" s="30"/>
      <c r="BF46" s="30"/>
      <c r="BG46" s="30"/>
      <c r="BH46" s="30"/>
      <c r="BI46" s="30"/>
      <c r="BJ46" s="30"/>
      <c r="BK46" s="30"/>
      <c r="BL46" s="30"/>
      <c r="BM46" s="30"/>
      <c r="BN46" s="30"/>
      <c r="BO46" s="30"/>
      <c r="BP46" s="30"/>
      <c r="BQ46" s="30"/>
      <c r="BR46" s="30"/>
      <c r="BS46" s="30"/>
    </row>
    <row r="47" spans="1:71" s="3" customFormat="1" ht="30" customHeight="1" thickBot="1" x14ac:dyDescent="0.35">
      <c r="A47" s="34"/>
      <c r="B47" s="86" t="s">
        <v>73</v>
      </c>
      <c r="C47" s="87" t="s">
        <v>75</v>
      </c>
      <c r="D47" s="88">
        <v>0</v>
      </c>
      <c r="E47" s="89">
        <f>F47-3</f>
        <v>46157</v>
      </c>
      <c r="F47" s="89">
        <v>46160</v>
      </c>
      <c r="G47" s="14"/>
      <c r="H47" s="14"/>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30"/>
      <c r="AN47" s="30"/>
      <c r="AO47" s="30"/>
      <c r="AP47" s="30"/>
      <c r="AQ47" s="30"/>
      <c r="AR47" s="30"/>
      <c r="AS47" s="30"/>
      <c r="AT47" s="30"/>
      <c r="AU47" s="30"/>
      <c r="AV47" s="30"/>
      <c r="AW47" s="30"/>
      <c r="AX47" s="30"/>
      <c r="AY47" s="30"/>
      <c r="AZ47" s="30"/>
      <c r="BA47" s="30"/>
      <c r="BB47" s="30"/>
      <c r="BC47" s="30"/>
      <c r="BD47" s="30"/>
      <c r="BE47" s="30"/>
      <c r="BF47" s="30"/>
      <c r="BG47" s="30"/>
      <c r="BH47" s="30"/>
      <c r="BI47" s="30"/>
      <c r="BJ47" s="30"/>
      <c r="BK47" s="30"/>
      <c r="BL47" s="30"/>
      <c r="BM47" s="30"/>
      <c r="BN47" s="30"/>
      <c r="BO47" s="30"/>
      <c r="BP47" s="30"/>
      <c r="BQ47" s="30"/>
      <c r="BR47" s="30"/>
      <c r="BS47" s="30"/>
    </row>
    <row r="48" spans="1:71" s="3" customFormat="1" ht="30" customHeight="1" thickBot="1" x14ac:dyDescent="0.35">
      <c r="A48" s="34" t="s">
        <v>12</v>
      </c>
      <c r="B48" s="53"/>
      <c r="C48" s="48"/>
      <c r="D48" s="13"/>
      <c r="E48" s="71"/>
      <c r="F48" s="71"/>
      <c r="G48" s="14"/>
      <c r="H48" s="14" t="str">
        <f t="shared" si="10"/>
        <v/>
      </c>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c r="AM48" s="30"/>
      <c r="AN48" s="30"/>
      <c r="AO48" s="30"/>
      <c r="AP48" s="30"/>
      <c r="AQ48" s="30"/>
      <c r="AR48" s="30"/>
      <c r="AS48" s="30"/>
      <c r="AT48" s="30"/>
      <c r="AU48" s="30"/>
      <c r="AV48" s="30"/>
      <c r="AW48" s="30"/>
      <c r="AX48" s="30"/>
      <c r="AY48" s="30"/>
      <c r="AZ48" s="30"/>
      <c r="BA48" s="30"/>
      <c r="BB48" s="30"/>
      <c r="BC48" s="30"/>
      <c r="BD48" s="30"/>
      <c r="BE48" s="30"/>
      <c r="BF48" s="30"/>
      <c r="BG48" s="30"/>
      <c r="BH48" s="30"/>
      <c r="BI48" s="30"/>
      <c r="BJ48" s="30"/>
      <c r="BK48" s="30"/>
      <c r="BL48" s="30"/>
      <c r="BM48" s="30"/>
      <c r="BN48" s="30"/>
      <c r="BO48" s="30"/>
      <c r="BP48" s="30"/>
      <c r="BQ48" s="30"/>
      <c r="BR48" s="30"/>
      <c r="BS48" s="30"/>
    </row>
    <row r="49" spans="1:71" s="3" customFormat="1" ht="30" customHeight="1" thickBot="1" x14ac:dyDescent="0.35">
      <c r="A49" s="35" t="s">
        <v>13</v>
      </c>
      <c r="B49" s="26" t="s">
        <v>15</v>
      </c>
      <c r="C49" s="27"/>
      <c r="D49" s="28"/>
      <c r="E49" s="64"/>
      <c r="F49" s="64"/>
      <c r="G49" s="29"/>
      <c r="H49" s="29" t="str">
        <f t="shared" si="10"/>
        <v/>
      </c>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32"/>
      <c r="AH49" s="32"/>
      <c r="AI49" s="32"/>
      <c r="AJ49" s="32"/>
      <c r="AK49" s="32"/>
      <c r="AL49" s="32"/>
      <c r="AM49" s="32"/>
      <c r="AN49" s="32"/>
      <c r="AO49" s="32"/>
      <c r="AP49" s="32"/>
      <c r="AQ49" s="32"/>
      <c r="AR49" s="32"/>
      <c r="AS49" s="32"/>
      <c r="AT49" s="32"/>
      <c r="AU49" s="32"/>
      <c r="AV49" s="32"/>
      <c r="AW49" s="32"/>
      <c r="AX49" s="32"/>
      <c r="AY49" s="32"/>
      <c r="AZ49" s="32"/>
      <c r="BA49" s="32"/>
      <c r="BB49" s="32"/>
      <c r="BC49" s="32"/>
      <c r="BD49" s="32"/>
      <c r="BE49" s="32"/>
      <c r="BF49" s="32"/>
      <c r="BG49" s="32"/>
      <c r="BH49" s="32"/>
      <c r="BI49" s="32"/>
      <c r="BJ49" s="32"/>
      <c r="BK49" s="32"/>
      <c r="BL49" s="32"/>
      <c r="BM49" s="32"/>
      <c r="BN49" s="32"/>
      <c r="BO49" s="32"/>
      <c r="BP49" s="32"/>
      <c r="BQ49" s="32"/>
      <c r="BR49" s="32"/>
      <c r="BS49" s="32"/>
    </row>
    <row r="50" spans="1:71" ht="30" customHeight="1" x14ac:dyDescent="0.3">
      <c r="G50" s="6"/>
    </row>
    <row r="51" spans="1:71" ht="30" customHeight="1" x14ac:dyDescent="0.3">
      <c r="C51" s="11"/>
      <c r="F51" s="36"/>
    </row>
    <row r="52" spans="1:71" ht="30" customHeight="1" x14ac:dyDescent="0.3">
      <c r="C52" s="12"/>
    </row>
  </sheetData>
  <mergeCells count="12">
    <mergeCell ref="BM7:BS7"/>
    <mergeCell ref="C6:D6"/>
    <mergeCell ref="C7:D7"/>
    <mergeCell ref="AK7:AQ7"/>
    <mergeCell ref="AR7:AX7"/>
    <mergeCell ref="AY7:BE7"/>
    <mergeCell ref="BF7:BL7"/>
    <mergeCell ref="E6:F6"/>
    <mergeCell ref="I7:O7"/>
    <mergeCell ref="P7:V7"/>
    <mergeCell ref="W7:AC7"/>
    <mergeCell ref="AD7:AJ7"/>
  </mergeCells>
  <conditionalFormatting sqref="D37:D41 D48:D49 D10:D35">
    <cfRule type="dataBar" priority="48">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8:BK49">
    <cfRule type="expression" dxfId="11" priority="67">
      <formula>AND(TODAY()&gt;=I$8,TODAY()&lt;J$8)</formula>
    </cfRule>
  </conditionalFormatting>
  <conditionalFormatting sqref="I10:BK49">
    <cfRule type="expression" dxfId="10" priority="61">
      <formula>AND(task_start&lt;=I$8,ROUNDDOWN((task_end-task_start+1)*task_progress,0)+task_start-1&gt;=I$8)</formula>
    </cfRule>
    <cfRule type="expression" dxfId="9" priority="62" stopIfTrue="1">
      <formula>AND(task_end&gt;=I$8,task_start&lt;J$8)</formula>
    </cfRule>
  </conditionalFormatting>
  <conditionalFormatting sqref="D36">
    <cfRule type="dataBar" priority="31">
      <dataBar>
        <cfvo type="num" val="0"/>
        <cfvo type="num" val="1"/>
        <color theme="0" tint="-0.249977111117893"/>
      </dataBar>
      <extLst>
        <ext xmlns:x14="http://schemas.microsoft.com/office/spreadsheetml/2009/9/main" uri="{B025F937-C7B1-47D3-B67F-A62EFF666E3E}">
          <x14:id>{1345CF71-E56D-48B9-97D1-955FF9B89323}</x14:id>
        </ext>
      </extLst>
    </cfRule>
  </conditionalFormatting>
  <conditionalFormatting sqref="D42">
    <cfRule type="dataBar" priority="27">
      <dataBar>
        <cfvo type="num" val="0"/>
        <cfvo type="num" val="1"/>
        <color theme="0" tint="-0.249977111117893"/>
      </dataBar>
      <extLst>
        <ext xmlns:x14="http://schemas.microsoft.com/office/spreadsheetml/2009/9/main" uri="{B025F937-C7B1-47D3-B67F-A62EFF666E3E}">
          <x14:id>{3371A9CC-1334-4535-9DF3-75E909A7A90F}</x14:id>
        </ext>
      </extLst>
    </cfRule>
  </conditionalFormatting>
  <conditionalFormatting sqref="D47">
    <cfRule type="dataBar" priority="15">
      <dataBar>
        <cfvo type="num" val="0"/>
        <cfvo type="num" val="1"/>
        <color theme="0" tint="-0.249977111117893"/>
      </dataBar>
      <extLst>
        <ext xmlns:x14="http://schemas.microsoft.com/office/spreadsheetml/2009/9/main" uri="{B025F937-C7B1-47D3-B67F-A62EFF666E3E}">
          <x14:id>{EFD490B7-E593-496A-A3A6-56BD5E66D3D7}</x14:id>
        </ext>
      </extLst>
    </cfRule>
  </conditionalFormatting>
  <conditionalFormatting sqref="D43:D46">
    <cfRule type="dataBar" priority="11">
      <dataBar>
        <cfvo type="num" val="0"/>
        <cfvo type="num" val="1"/>
        <color theme="0" tint="-0.249977111117893"/>
      </dataBar>
      <extLst>
        <ext xmlns:x14="http://schemas.microsoft.com/office/spreadsheetml/2009/9/main" uri="{B025F937-C7B1-47D3-B67F-A62EFF666E3E}">
          <x14:id>{6DF81790-BB28-448A-81EB-D8AD014B3F7A}</x14:id>
        </ext>
      </extLst>
    </cfRule>
  </conditionalFormatting>
  <conditionalFormatting sqref="BL8:BL49">
    <cfRule type="expression" dxfId="8" priority="69">
      <formula>AND(TODAY()&gt;=BL$8,TODAY()&lt;BN$8)</formula>
    </cfRule>
  </conditionalFormatting>
  <conditionalFormatting sqref="BL10:BL49">
    <cfRule type="expression" dxfId="7" priority="76">
      <formula>AND(task_start&lt;=BL$8,ROUNDDOWN((task_end-task_start+1)*task_progress,0)+task_start-1&gt;=BL$8)</formula>
    </cfRule>
    <cfRule type="expression" dxfId="6" priority="77" stopIfTrue="1">
      <formula>AND(task_end&gt;=BL$8,task_start&lt;BN$8)</formula>
    </cfRule>
  </conditionalFormatting>
  <conditionalFormatting sqref="BM8:BR49">
    <cfRule type="expression" dxfId="5" priority="6">
      <formula>AND(TODAY()&gt;=BM$8,TODAY()&lt;BN$8)</formula>
    </cfRule>
  </conditionalFormatting>
  <conditionalFormatting sqref="BM10:BR49">
    <cfRule type="expression" dxfId="4" priority="4">
      <formula>AND(task_start&lt;=BM$8,ROUNDDOWN((task_end-task_start+1)*task_progress,0)+task_start-1&gt;=BM$8)</formula>
    </cfRule>
    <cfRule type="expression" dxfId="3" priority="4" stopIfTrue="1">
      <formula>AND(task_end&gt;=BM$8,task_start&lt;BN$8)</formula>
    </cfRule>
  </conditionalFormatting>
  <conditionalFormatting sqref="BS8:BS49">
    <cfRule type="expression" dxfId="2" priority="78">
      <formula>AND(TODAY()&gt;=BS$8,TODAY()&lt;BU$8)</formula>
    </cfRule>
  </conditionalFormatting>
  <conditionalFormatting sqref="BS10:BS49">
    <cfRule type="expression" dxfId="1" priority="5">
      <formula>AND(task_start&lt;=BS$8,ROUNDDOWN((task_end-task_start+1)*task_progress,0)+task_start-1&gt;=BS$8)</formula>
    </cfRule>
    <cfRule type="expression" dxfId="0" priority="79" stopIfTrue="1">
      <formula>AND(task_end&gt;=BS$8,task_start&lt;BU$8)</formula>
    </cfRule>
  </conditionalFormatting>
  <dataValidations count="1">
    <dataValidation type="whole" operator="greaterThanOrEqual" allowBlank="1" showInputMessage="1" promptTitle="Mostrar semana" prompt="Al cambiar este número, se desplazará la vista del diagrama de Gantt." sqref="E7"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D37:D41 D48:D49 D10:D35</xm:sqref>
        </x14:conditionalFormatting>
        <x14:conditionalFormatting xmlns:xm="http://schemas.microsoft.com/office/excel/2006/main">
          <x14:cfRule type="dataBar" id="{1345CF71-E56D-48B9-97D1-955FF9B89323}">
            <x14:dataBar minLength="0" maxLength="100" gradient="0">
              <x14:cfvo type="num">
                <xm:f>0</xm:f>
              </x14:cfvo>
              <x14:cfvo type="num">
                <xm:f>1</xm:f>
              </x14:cfvo>
              <x14:negativeFillColor rgb="FFFF0000"/>
              <x14:axisColor rgb="FF000000"/>
            </x14:dataBar>
          </x14:cfRule>
          <xm:sqref>D36</xm:sqref>
        </x14:conditionalFormatting>
        <x14:conditionalFormatting xmlns:xm="http://schemas.microsoft.com/office/excel/2006/main">
          <x14:cfRule type="dataBar" id="{3371A9CC-1334-4535-9DF3-75E909A7A90F}">
            <x14:dataBar minLength="0" maxLength="100" gradient="0">
              <x14:cfvo type="num">
                <xm:f>0</xm:f>
              </x14:cfvo>
              <x14:cfvo type="num">
                <xm:f>1</xm:f>
              </x14:cfvo>
              <x14:negativeFillColor rgb="FFFF0000"/>
              <x14:axisColor rgb="FF000000"/>
            </x14:dataBar>
          </x14:cfRule>
          <xm:sqref>D42</xm:sqref>
        </x14:conditionalFormatting>
        <x14:conditionalFormatting xmlns:xm="http://schemas.microsoft.com/office/excel/2006/main">
          <x14:cfRule type="dataBar" id="{EFD490B7-E593-496A-A3A6-56BD5E66D3D7}">
            <x14:dataBar minLength="0" maxLength="100" gradient="0">
              <x14:cfvo type="num">
                <xm:f>0</xm:f>
              </x14:cfvo>
              <x14:cfvo type="num">
                <xm:f>1</xm:f>
              </x14:cfvo>
              <x14:negativeFillColor rgb="FFFF0000"/>
              <x14:axisColor rgb="FF000000"/>
            </x14:dataBar>
          </x14:cfRule>
          <xm:sqref>D47</xm:sqref>
        </x14:conditionalFormatting>
        <x14:conditionalFormatting xmlns:xm="http://schemas.microsoft.com/office/excel/2006/main">
          <x14:cfRule type="dataBar" id="{6DF81790-BB28-448A-81EB-D8AD014B3F7A}">
            <x14:dataBar minLength="0" maxLength="100" gradient="0">
              <x14:cfvo type="num">
                <xm:f>0</xm:f>
              </x14:cfvo>
              <x14:cfvo type="num">
                <xm:f>1</xm:f>
              </x14:cfvo>
              <x14:negativeFillColor rgb="FFFF0000"/>
              <x14:axisColor rgb="FF000000"/>
            </x14:dataBar>
          </x14:cfRule>
          <xm:sqref>D43:D46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Level optizone TdeA</vt:lpstr>
      <vt:lpstr>Inicio_del_proyecto</vt:lpstr>
      <vt:lpstr>Semana_para_mostrar</vt:lpstr>
      <vt:lpstr>'Level optizone TdeA'!task_end</vt:lpstr>
      <vt:lpstr>'Level optizone TdeA'!task_progress</vt:lpstr>
      <vt:lpstr>'Level optizone TdeA'!task_start</vt:lpstr>
      <vt:lpstr>'Level optizone TdeA'!Títulos_a_imprimir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2026-03-05T01:54:06Z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